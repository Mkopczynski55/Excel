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f448ec057303af/Pulpit/Save Sheets as Separate Files/"/>
    </mc:Choice>
  </mc:AlternateContent>
  <xr:revisionPtr revIDLastSave="0" documentId="8_{39433E6D-191E-43D4-96C8-6FF4FACBD29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les" sheetId="1" r:id="rId1"/>
    <sheet name="Master Report" sheetId="2" r:id="rId2"/>
    <sheet name="Alice Abramas" sheetId="26" r:id="rId3"/>
    <sheet name="Ernest Feldgus" sheetId="25" r:id="rId4"/>
    <sheet name="Frank Killough" sheetId="24" r:id="rId5"/>
    <sheet name="Frank Mann" sheetId="23" r:id="rId6"/>
    <sheet name="Fred Edwards" sheetId="22" r:id="rId7"/>
    <sheet name="Janice Faraco" sheetId="21" r:id="rId8"/>
    <sheet name="Joe Marks" sheetId="20" r:id="rId9"/>
    <sheet name="John Carpenter" sheetId="19" r:id="rId10"/>
    <sheet name="Perry Weinstein" sheetId="18" r:id="rId11"/>
    <sheet name="Sandy Brady" sheetId="17" r:id="rId12"/>
    <sheet name="Susan Edwards" sheetId="16" r:id="rId13"/>
    <sheet name="Terry Caracio" sheetId="15" r:id="rId14"/>
  </sheets>
  <definedNames>
    <definedName name="_xlnm._FilterDatabase" localSheetId="0" hidden="1">Sales!$B$3:$M$28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" l="1"/>
  <c r="F19" i="1"/>
  <c r="E11" i="1"/>
  <c r="E16" i="1"/>
  <c r="E17" i="1"/>
  <c r="E6" i="1"/>
  <c r="E25" i="1"/>
  <c r="E12" i="1"/>
  <c r="E7" i="1"/>
  <c r="E24" i="1"/>
  <c r="E22" i="1"/>
  <c r="E8" i="1"/>
  <c r="E15" i="1"/>
  <c r="E5" i="1"/>
  <c r="E4" i="1"/>
  <c r="E14" i="1"/>
  <c r="E9" i="1"/>
  <c r="E13" i="1"/>
  <c r="E26" i="1"/>
  <c r="E10" i="1"/>
  <c r="E27" i="1"/>
  <c r="E23" i="1"/>
  <c r="E18" i="1"/>
  <c r="E20" i="1"/>
  <c r="E19" i="1"/>
  <c r="E28" i="1"/>
  <c r="E21" i="1"/>
  <c r="F11" i="1"/>
  <c r="F16" i="1"/>
  <c r="F17" i="1"/>
  <c r="F6" i="1"/>
  <c r="F25" i="1"/>
  <c r="F12" i="1"/>
  <c r="F7" i="1"/>
  <c r="F24" i="1"/>
  <c r="F22" i="1"/>
  <c r="F8" i="1"/>
  <c r="F5" i="1"/>
  <c r="F4" i="1"/>
  <c r="F14" i="1"/>
  <c r="F9" i="1"/>
  <c r="F13" i="1"/>
  <c r="F26" i="1"/>
  <c r="F10" i="1"/>
  <c r="F27" i="1"/>
  <c r="F23" i="1"/>
  <c r="F18" i="1"/>
  <c r="F20" i="1"/>
  <c r="F28" i="1"/>
  <c r="F21" i="1"/>
  <c r="M11" i="1" l="1"/>
  <c r="M16" i="1"/>
  <c r="M17" i="1"/>
  <c r="M6" i="1"/>
  <c r="M25" i="1"/>
  <c r="M12" i="1"/>
  <c r="M7" i="1"/>
  <c r="M24" i="1"/>
  <c r="M22" i="1"/>
  <c r="M8" i="1"/>
  <c r="M15" i="1"/>
  <c r="M5" i="1"/>
  <c r="M4" i="1"/>
  <c r="M14" i="1"/>
  <c r="M9" i="1"/>
  <c r="M13" i="1"/>
  <c r="M26" i="1"/>
  <c r="M10" i="1"/>
  <c r="M27" i="1"/>
  <c r="M23" i="1"/>
  <c r="M18" i="1"/>
  <c r="M20" i="1"/>
  <c r="M19" i="1"/>
  <c r="M28" i="1"/>
  <c r="M21" i="1"/>
  <c r="D9" i="1"/>
  <c r="D22" i="1"/>
  <c r="D26" i="1"/>
  <c r="D5" i="1"/>
  <c r="D17" i="1"/>
  <c r="D21" i="1"/>
  <c r="D11" i="1"/>
  <c r="D24" i="1" l="1"/>
  <c r="D28" i="1"/>
  <c r="D14" i="1"/>
  <c r="D19" i="1"/>
  <c r="D23" i="1"/>
  <c r="D25" i="1"/>
  <c r="D27" i="1"/>
  <c r="D6" i="1"/>
  <c r="D7" i="1"/>
  <c r="D15" i="1"/>
  <c r="D12" i="1"/>
  <c r="D4" i="1"/>
  <c r="D13" i="1"/>
  <c r="D8" i="1"/>
  <c r="D18" i="1"/>
  <c r="D10" i="1"/>
  <c r="D16" i="1"/>
  <c r="D20" i="1"/>
</calcChain>
</file>

<file path=xl/sharedStrings.xml><?xml version="1.0" encoding="utf-8"?>
<sst xmlns="http://schemas.openxmlformats.org/spreadsheetml/2006/main" count="242" uniqueCount="56">
  <si>
    <t>WORLDWIDE SPORTING GOODS</t>
  </si>
  <si>
    <t>Date</t>
  </si>
  <si>
    <t>Month</t>
  </si>
  <si>
    <t>Product</t>
  </si>
  <si>
    <t>Year</t>
  </si>
  <si>
    <t>Purchaser</t>
  </si>
  <si>
    <t>Profit</t>
  </si>
  <si>
    <t>Alice Abramas</t>
  </si>
  <si>
    <t>SportsCity</t>
  </si>
  <si>
    <t>Terry Caracio</t>
  </si>
  <si>
    <t>Basketballs</t>
  </si>
  <si>
    <t>Athlete's Dream</t>
  </si>
  <si>
    <t>John Carpenter</t>
  </si>
  <si>
    <t>Baseballs</t>
  </si>
  <si>
    <t>Sports Emporium</t>
  </si>
  <si>
    <t>Fred Edwards</t>
  </si>
  <si>
    <t>Footballs</t>
  </si>
  <si>
    <t>SportsWorld</t>
  </si>
  <si>
    <t>Susan Edwards</t>
  </si>
  <si>
    <t>Tennis Balls</t>
  </si>
  <si>
    <t>Tennis Joint</t>
  </si>
  <si>
    <t>Janice Faraco</t>
  </si>
  <si>
    <t>Gloves</t>
  </si>
  <si>
    <t>Athlete's World</t>
  </si>
  <si>
    <t>Ernest Feldgus</t>
  </si>
  <si>
    <t>Rowing Machines</t>
  </si>
  <si>
    <t>Sportsman's Den</t>
  </si>
  <si>
    <t>Frank Killough</t>
  </si>
  <si>
    <t>Stepper Machines</t>
  </si>
  <si>
    <t>World of Sports</t>
  </si>
  <si>
    <t>Perry Weinstein</t>
  </si>
  <si>
    <t>Exercise Machines</t>
  </si>
  <si>
    <t>Specialty Sports</t>
  </si>
  <si>
    <t>Frank Mann</t>
  </si>
  <si>
    <t>Sandy Brady</t>
  </si>
  <si>
    <t>Joe Marks</t>
  </si>
  <si>
    <t>Golf Balls</t>
  </si>
  <si>
    <t>Region</t>
  </si>
  <si>
    <t>Northeast</t>
  </si>
  <si>
    <t>Southeast</t>
  </si>
  <si>
    <t>Northwest</t>
  </si>
  <si>
    <t>Central</t>
  </si>
  <si>
    <t>Southwest</t>
  </si>
  <si>
    <t>SalesRep</t>
  </si>
  <si>
    <t>Cost</t>
  </si>
  <si>
    <t>Sale</t>
  </si>
  <si>
    <t>Division ID</t>
  </si>
  <si>
    <t>Quarter</t>
  </si>
  <si>
    <t>(All)</t>
  </si>
  <si>
    <t>Row Labels</t>
  </si>
  <si>
    <t>Grand Total</t>
  </si>
  <si>
    <t>Column Labels</t>
  </si>
  <si>
    <t>Sum of Sale</t>
  </si>
  <si>
    <t>Etykiety kolumn</t>
  </si>
  <si>
    <t>Etykiety wierszy</t>
  </si>
  <si>
    <t>Suma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</si>
</sst>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4" fontId="2" fillId="0" borderId="0" xfId="0" applyNumberFormat="1" applyFont="1"/>
    <xf numFmtId="164" fontId="2" fillId="0" borderId="0" xfId="1" applyFont="1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1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0" xfId="0" applyFont="1" applyFill="1"/>
  </cellXfs>
  <cellStyles count="2">
    <cellStyle name="Normalny" xfId="0" builtinId="0"/>
    <cellStyle name="Walutowy" xfId="1" builtinId="4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CTI Trainer" refreshedDate="45577.832791203706" createdVersion="8" refreshedVersion="8" minRefreshableVersion="3" recordCount="25" xr:uid="{EAC60950-2E52-4C85-83ED-6999EF2866DA}">
  <cacheSource type="worksheet">
    <worksheetSource ref="B3:M28" sheet="Sales"/>
  </cacheSource>
  <cacheFields count="12">
    <cacheField name="SalesRep" numFmtId="0">
      <sharedItems count="12">
        <s v="Joe Marks"/>
        <s v="Janice Faraco"/>
        <s v="Ernest Feldgus"/>
        <s v="Frank Mann"/>
        <s v="Fred Edwards"/>
        <s v="John Carpenter"/>
        <s v="Perry Weinstein"/>
        <s v="Alice Abramas"/>
        <s v="Frank Killough"/>
        <s v="Susan Edwards"/>
        <s v="Terry Caracio"/>
        <s v="Sandy Brady"/>
      </sharedItems>
    </cacheField>
    <cacheField name="Date" numFmtId="14">
      <sharedItems containsSemiMixedTypes="0" containsNonDate="0" containsDate="1" containsString="0" minDate="2022-02-08T00:00:00" maxDate="2023-07-18T00:00:00"/>
    </cacheField>
    <cacheField name="Year" numFmtId="0">
      <sharedItems containsSemiMixedTypes="0" containsString="0" containsNumber="1" containsInteger="1" minValue="2022" maxValue="2023"/>
    </cacheField>
    <cacheField name="Quarter" numFmtId="0">
      <sharedItems/>
    </cacheField>
    <cacheField name="Month" numFmtId="0">
      <sharedItems/>
    </cacheField>
    <cacheField name="Division ID" numFmtId="0">
      <sharedItems containsSemiMixedTypes="0" containsString="0" containsNumber="1" containsInteger="1" minValue="1" maxValue="7"/>
    </cacheField>
    <cacheField name="Product" numFmtId="0">
      <sharedItems/>
    </cacheField>
    <cacheField name="Region" numFmtId="0">
      <sharedItems count="5">
        <s v="Southwest"/>
        <s v="Southeast"/>
        <s v="Central"/>
        <s v="Northeast"/>
        <s v="Northwest"/>
      </sharedItems>
    </cacheField>
    <cacheField name="Purchaser" numFmtId="0">
      <sharedItems count="9">
        <s v="Tennis Joint"/>
        <s v="Athlete's World"/>
        <s v="Sportsman's Den"/>
        <s v="Sports Emporium"/>
        <s v="SportsWorld"/>
        <s v="Specialty Sports"/>
        <s v="SportsCity"/>
        <s v="World of Sports"/>
        <s v="Athlete's Dream"/>
      </sharedItems>
    </cacheField>
    <cacheField name="Cost" numFmtId="164">
      <sharedItems containsSemiMixedTypes="0" containsString="0" containsNumber="1" containsInteger="1" minValue="1090" maxValue="2906"/>
    </cacheField>
    <cacheField name="Sale" numFmtId="164">
      <sharedItems containsSemiMixedTypes="0" containsString="0" containsNumber="1" containsInteger="1" minValue="1553" maxValue="4369"/>
    </cacheField>
    <cacheField name="Profit" numFmtId="164">
      <sharedItems containsSemiMixedTypes="0" containsString="0" containsNumber="1" containsInteger="1" minValue="110" maxValue="22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2-02-08T00:00:00"/>
    <n v="2022"/>
    <s v="Q1"/>
    <s v="Feb"/>
    <n v="1"/>
    <s v="Golf Balls"/>
    <x v="0"/>
    <x v="0"/>
    <n v="2409"/>
    <n v="2519"/>
    <n v="110"/>
  </r>
  <r>
    <x v="1"/>
    <d v="2022-04-30T00:00:00"/>
    <n v="2022"/>
    <s v="Q2"/>
    <s v="Apr"/>
    <n v="7"/>
    <s v="Basketballs"/>
    <x v="0"/>
    <x v="1"/>
    <n v="1579"/>
    <n v="2004"/>
    <n v="425"/>
  </r>
  <r>
    <x v="2"/>
    <d v="2022-05-27T00:00:00"/>
    <n v="2022"/>
    <s v="Q2"/>
    <s v="May"/>
    <n v="6"/>
    <s v="Rowing Machines"/>
    <x v="1"/>
    <x v="2"/>
    <n v="1090"/>
    <n v="2170"/>
    <n v="1080"/>
  </r>
  <r>
    <x v="3"/>
    <d v="2022-05-29T00:00:00"/>
    <n v="2022"/>
    <s v="Q2"/>
    <s v="May"/>
    <n v="1"/>
    <s v="Baseballs"/>
    <x v="2"/>
    <x v="3"/>
    <n v="2389"/>
    <n v="3289"/>
    <n v="900"/>
  </r>
  <r>
    <x v="4"/>
    <d v="2022-06-27T00:00:00"/>
    <n v="2022"/>
    <s v="Q2"/>
    <s v="Jun"/>
    <n v="6"/>
    <s v="Gloves"/>
    <x v="2"/>
    <x v="4"/>
    <n v="2140"/>
    <n v="2890"/>
    <n v="750"/>
  </r>
  <r>
    <x v="5"/>
    <d v="2022-07-06T00:00:00"/>
    <n v="2022"/>
    <s v="Q3"/>
    <s v="Jul"/>
    <n v="7"/>
    <s v="Baseballs"/>
    <x v="3"/>
    <x v="3"/>
    <n v="2112"/>
    <n v="3012"/>
    <n v="900"/>
  </r>
  <r>
    <x v="6"/>
    <d v="2022-07-15T00:00:00"/>
    <n v="2022"/>
    <s v="Q3"/>
    <s v="Jul"/>
    <n v="3"/>
    <s v="Stepper Machines"/>
    <x v="4"/>
    <x v="5"/>
    <n v="1998"/>
    <n v="4253"/>
    <n v="2255"/>
  </r>
  <r>
    <x v="7"/>
    <d v="2022-07-20T00:00:00"/>
    <n v="2022"/>
    <s v="Q3"/>
    <s v="Jul"/>
    <n v="6"/>
    <s v="Golf Balls"/>
    <x v="3"/>
    <x v="6"/>
    <n v="2906"/>
    <n v="3356"/>
    <n v="450"/>
  </r>
  <r>
    <x v="8"/>
    <d v="2022-07-24T00:00:00"/>
    <n v="2022"/>
    <s v="Q3"/>
    <s v="Jul"/>
    <n v="6"/>
    <s v="Footballs"/>
    <x v="4"/>
    <x v="7"/>
    <n v="1709"/>
    <n v="2334"/>
    <n v="625"/>
  </r>
  <r>
    <x v="5"/>
    <d v="2022-09-11T00:00:00"/>
    <n v="2022"/>
    <s v="Q3"/>
    <s v="Sep"/>
    <n v="2"/>
    <s v="Gloves"/>
    <x v="3"/>
    <x v="3"/>
    <n v="1804"/>
    <n v="2784"/>
    <n v="980"/>
  </r>
  <r>
    <x v="5"/>
    <d v="2022-09-27T00:00:00"/>
    <n v="2022"/>
    <s v="Q3"/>
    <s v="Sep"/>
    <n v="5"/>
    <s v="Stepper Machines"/>
    <x v="3"/>
    <x v="3"/>
    <n v="2224"/>
    <n v="4369"/>
    <n v="2145"/>
  </r>
  <r>
    <x v="1"/>
    <d v="2022-10-02T00:00:00"/>
    <n v="2022"/>
    <s v="Q4"/>
    <s v="Oct"/>
    <n v="5"/>
    <s v="Gloves"/>
    <x v="0"/>
    <x v="1"/>
    <n v="2723"/>
    <n v="3328"/>
    <n v="605"/>
  </r>
  <r>
    <x v="7"/>
    <d v="2022-10-29T00:00:00"/>
    <n v="2022"/>
    <s v="Q4"/>
    <s v="Oct"/>
    <n v="5"/>
    <s v="Gloves"/>
    <x v="3"/>
    <x v="6"/>
    <n v="2447"/>
    <n v="3097"/>
    <n v="650"/>
  </r>
  <r>
    <x v="2"/>
    <d v="2022-11-05T00:00:00"/>
    <n v="2022"/>
    <s v="Q4"/>
    <s v="Nov"/>
    <n v="2"/>
    <s v="Baseballs"/>
    <x v="1"/>
    <x v="2"/>
    <n v="2116"/>
    <n v="2591"/>
    <n v="475"/>
  </r>
  <r>
    <x v="9"/>
    <d v="2022-12-04T00:00:00"/>
    <n v="2022"/>
    <s v="Q4"/>
    <s v="Dec"/>
    <n v="1"/>
    <s v="Tennis Balls"/>
    <x v="3"/>
    <x v="0"/>
    <n v="1516"/>
    <n v="1912"/>
    <n v="396"/>
  </r>
  <r>
    <x v="10"/>
    <d v="2022-12-12T00:00:00"/>
    <n v="2022"/>
    <s v="Q4"/>
    <s v="Dec"/>
    <n v="5"/>
    <s v="Rowing Machines"/>
    <x v="0"/>
    <x v="8"/>
    <n v="1853"/>
    <n v="3053"/>
    <n v="1200"/>
  </r>
  <r>
    <x v="10"/>
    <d v="2022-12-29T00:00:00"/>
    <n v="2022"/>
    <s v="Q4"/>
    <s v="Dec"/>
    <n v="3"/>
    <s v="Basketballs"/>
    <x v="0"/>
    <x v="8"/>
    <n v="2845"/>
    <n v="3160"/>
    <n v="315"/>
  </r>
  <r>
    <x v="7"/>
    <d v="2023-01-28T00:00:00"/>
    <n v="2023"/>
    <s v="Q1"/>
    <s v="Jan"/>
    <n v="3"/>
    <s v="Gloves"/>
    <x v="3"/>
    <x v="6"/>
    <n v="1408"/>
    <n v="2258"/>
    <n v="850"/>
  </r>
  <r>
    <x v="4"/>
    <d v="2023-02-05T00:00:00"/>
    <n v="2023"/>
    <s v="Q1"/>
    <s v="Feb"/>
    <n v="1"/>
    <s v="Footballs"/>
    <x v="2"/>
    <x v="4"/>
    <n v="2844"/>
    <n v="3444"/>
    <n v="600"/>
  </r>
  <r>
    <x v="9"/>
    <d v="2023-02-09T00:00:00"/>
    <n v="2023"/>
    <s v="Q1"/>
    <s v="Feb"/>
    <n v="6"/>
    <s v="Golf Balls"/>
    <x v="3"/>
    <x v="0"/>
    <n v="1443"/>
    <n v="1553"/>
    <n v="110"/>
  </r>
  <r>
    <x v="4"/>
    <d v="2023-02-16T00:00:00"/>
    <n v="2023"/>
    <s v="Q1"/>
    <s v="Feb"/>
    <n v="1"/>
    <s v="Rowing Machines"/>
    <x v="2"/>
    <x v="4"/>
    <n v="1999"/>
    <n v="3349"/>
    <n v="1350"/>
  </r>
  <r>
    <x v="8"/>
    <d v="2023-05-06T00:00:00"/>
    <n v="2023"/>
    <s v="Q2"/>
    <s v="May"/>
    <n v="3"/>
    <s v="Stepper Machines"/>
    <x v="4"/>
    <x v="7"/>
    <n v="1928"/>
    <n v="3498"/>
    <n v="1570"/>
  </r>
  <r>
    <x v="6"/>
    <d v="2023-05-23T00:00:00"/>
    <n v="2023"/>
    <s v="Q2"/>
    <s v="May"/>
    <n v="2"/>
    <s v="Exercise Machines"/>
    <x v="4"/>
    <x v="5"/>
    <n v="1670"/>
    <n v="3200"/>
    <n v="1530"/>
  </r>
  <r>
    <x v="11"/>
    <d v="2023-06-18T00:00:00"/>
    <n v="2023"/>
    <s v="Q2"/>
    <s v="Jun"/>
    <n v="7"/>
    <s v="Tennis Balls"/>
    <x v="1"/>
    <x v="0"/>
    <n v="1406"/>
    <n v="1796"/>
    <n v="390"/>
  </r>
  <r>
    <x v="10"/>
    <d v="2023-07-17T00:00:00"/>
    <n v="2023"/>
    <s v="Q3"/>
    <s v="Jul"/>
    <n v="3"/>
    <s v="Golf Balls"/>
    <x v="0"/>
    <x v="8"/>
    <n v="2454"/>
    <n v="3034"/>
    <n v="5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pvttblSalesByRegionAndSalesRep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4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4"/>
    </i>
    <i t="grand">
      <x/>
    </i>
  </rowItems>
  <colFields count="1">
    <field x="7"/>
  </colFields>
  <colItems count="2">
    <i>
      <x v="1"/>
    </i>
    <i t="grand">
      <x/>
    </i>
  </colItems>
  <pageFields count="1">
    <pageField fld="0" item="0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5"/>
    </i>
    <i t="grand">
      <x/>
    </i>
  </rowItems>
  <colFields count="1">
    <field x="7"/>
  </colFields>
  <colItems count="2">
    <i>
      <x v="3"/>
    </i>
    <i t="grand">
      <x/>
    </i>
  </colItems>
  <pageFields count="1">
    <pageField fld="0" item="1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8"/>
    </i>
    <i t="grand">
      <x/>
    </i>
  </rowItems>
  <colFields count="1">
    <field x="7"/>
  </colFields>
  <colItems count="2">
    <i>
      <x v="2"/>
    </i>
    <i t="grand">
      <x/>
    </i>
  </colItems>
  <pageFields count="1">
    <pageField fld="0" item="2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3"/>
    </i>
    <i t="grand">
      <x/>
    </i>
  </rowItems>
  <colFields count="1">
    <field x="7"/>
  </colFields>
  <colItems count="2">
    <i>
      <x/>
    </i>
    <i t="grand">
      <x/>
    </i>
  </colItems>
  <pageFields count="1">
    <pageField fld="0" item="3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6"/>
    </i>
    <i t="grand">
      <x/>
    </i>
  </rowItems>
  <colFields count="1">
    <field x="7"/>
  </colFields>
  <colItems count="2">
    <i>
      <x/>
    </i>
    <i t="grand">
      <x/>
    </i>
  </colItems>
  <pageFields count="1">
    <pageField fld="0" item="4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1"/>
    </i>
    <i t="grand">
      <x/>
    </i>
  </rowItems>
  <colFields count="1">
    <field x="7"/>
  </colFields>
  <colItems count="2">
    <i>
      <x v="4"/>
    </i>
    <i t="grand">
      <x/>
    </i>
  </colItems>
  <pageFields count="1">
    <pageField fld="0" item="5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7"/>
    </i>
    <i t="grand">
      <x/>
    </i>
  </rowItems>
  <colFields count="1">
    <field x="7"/>
  </colFields>
  <colItems count="2">
    <i>
      <x v="4"/>
    </i>
    <i t="grand">
      <x/>
    </i>
  </colItems>
  <pageFields count="1">
    <pageField fld="0" item="6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3"/>
    </i>
    <i t="grand">
      <x/>
    </i>
  </rowItems>
  <colFields count="1">
    <field x="7"/>
  </colFields>
  <colItems count="2">
    <i>
      <x v="1"/>
    </i>
    <i t="grand">
      <x/>
    </i>
  </colItems>
  <pageFields count="1">
    <pageField fld="0" item="7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2"/>
    </i>
    <i t="grand">
      <x/>
    </i>
  </rowItems>
  <colFields count="1">
    <field x="7"/>
  </colFields>
  <colItems count="2">
    <i>
      <x v="2"/>
    </i>
    <i t="grand">
      <x/>
    </i>
  </colItems>
  <pageFields count="1">
    <pageField fld="0" item="8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7"/>
    </i>
    <i t="grand">
      <x/>
    </i>
  </rowItems>
  <colFields count="1">
    <field x="7"/>
  </colFields>
  <colItems count="2">
    <i>
      <x v="3"/>
    </i>
    <i t="grand">
      <x/>
    </i>
  </colItems>
  <pageFields count="1">
    <pageField fld="0" item="9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 v="7"/>
    </i>
    <i t="grand">
      <x/>
    </i>
  </rowItems>
  <colFields count="1">
    <field x="7"/>
  </colFields>
  <colItems count="2">
    <i>
      <x v="1"/>
    </i>
    <i t="grand">
      <x/>
    </i>
  </colItems>
  <pageFields count="1">
    <pageField fld="0" item="10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0049C-6C4D-4FE4-94AB-C2BC0904B97C}" name="Tabela przestawna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" firstHeaderRow="1" firstDataRow="2" firstDataCol="1" rowPageCount="1" colPageCount="1"/>
  <pivotFields count="12">
    <pivotField axis="axisPage" showAll="0">
      <items count="13">
        <item x="7"/>
        <item x="2"/>
        <item x="8"/>
        <item x="3"/>
        <item x="4"/>
        <item x="1"/>
        <item x="0"/>
        <item x="5"/>
        <item x="6"/>
        <item x="11"/>
        <item x="9"/>
        <item x="10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2"/>
        <item x="3"/>
        <item x="4"/>
        <item x="1"/>
        <item x="0"/>
        <item t="default"/>
      </items>
    </pivotField>
    <pivotField axis="axisRow" showAll="0">
      <items count="10">
        <item x="8"/>
        <item x="1"/>
        <item x="5"/>
        <item x="3"/>
        <item x="6"/>
        <item x="2"/>
        <item x="4"/>
        <item x="0"/>
        <item x="7"/>
        <item t="default"/>
      </items>
    </pivotField>
    <pivotField numFmtId="164" showAll="0"/>
    <pivotField dataField="1" numFmtId="164" showAll="0"/>
    <pivotField numFmtId="164" showAll="0"/>
  </pivotFields>
  <rowFields count="1">
    <field x="8"/>
  </rowFields>
  <rowItems count="2">
    <i>
      <x/>
    </i>
    <i t="grand">
      <x/>
    </i>
  </rowItems>
  <colFields count="1">
    <field x="7"/>
  </colFields>
  <colItems count="2">
    <i>
      <x v="4"/>
    </i>
    <i t="grand">
      <x/>
    </i>
  </colItems>
  <pageFields count="1">
    <pageField fld="0" item="11" hier="-1"/>
  </pageFields>
  <dataFields count="1">
    <dataField name="Sum of Sale" fld="10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A88EE7-D4C9-4226-8179-68D283AB3885}" name="tblSalesData" displayName="tblSalesData" ref="B3:M28" totalsRowShown="0" headerRowDxfId="0" dataDxfId="1" dataCellStyle="Walutowy">
  <autoFilter ref="B3:M28" xr:uid="{6BA88EE7-D4C9-4226-8179-68D283AB3885}"/>
  <tableColumns count="12">
    <tableColumn id="1" xr3:uid="{2AFF7BAB-151E-49FC-A118-90521BAFB6F3}" name="SalesRep" dataDxfId="13"/>
    <tableColumn id="2" xr3:uid="{80142607-01DB-40F7-BB69-A669624F1753}" name="Date" dataDxfId="12"/>
    <tableColumn id="3" xr3:uid="{288B6C81-CEDA-47D5-9045-27594673CA67}" name="Year" dataDxfId="11">
      <calculatedColumnFormula>YEAR(C4)</calculatedColumnFormula>
    </tableColumn>
    <tableColumn id="4" xr3:uid="{FB29FDEA-4D3D-45FF-BFF8-C10E93D463D6}" name="Quarter" dataDxfId="10">
      <calculatedColumnFormula>"Q"&amp;ROUNDUP(MONTH(C4)/3,0)</calculatedColumnFormula>
    </tableColumn>
    <tableColumn id="5" xr3:uid="{D4D24611-2AEF-4BE4-8F92-8A80002D5592}" name="Month" dataDxfId="9">
      <calculatedColumnFormula>TEXT(C4,"mmm")</calculatedColumnFormula>
    </tableColumn>
    <tableColumn id="6" xr3:uid="{2B03020A-8E62-4CE8-9790-434E551961DD}" name="Division ID" dataDxfId="8"/>
    <tableColumn id="7" xr3:uid="{1F6BB95F-6F52-475F-9869-336DEB5E93E6}" name="Product" dataDxfId="7"/>
    <tableColumn id="8" xr3:uid="{A771A53C-F153-4A81-8FE5-05F391D328CE}" name="Region" dataDxfId="6"/>
    <tableColumn id="9" xr3:uid="{781708DF-19CE-4C41-A197-BBB61F908850}" name="Purchaser" dataDxfId="5"/>
    <tableColumn id="10" xr3:uid="{182539C6-A917-4056-8F1B-B83F51DC6110}" name="Cost" dataDxfId="4" dataCellStyle="Walutowy"/>
    <tableColumn id="11" xr3:uid="{BFB76263-69C6-40F8-9731-DFD01A646D73}" name="Sale" dataDxfId="3" dataCellStyle="Walutowy"/>
    <tableColumn id="12" xr3:uid="{B877F24F-AFAC-45A9-9C14-4E82DD64A41D}" name="Profit" dataDxfId="2" dataCellStyle="Walutowy">
      <calculatedColumnFormula>L4-K4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1:Q28"/>
  <sheetViews>
    <sheetView showGridLines="0" tabSelected="1" workbookViewId="0">
      <selection activeCell="H7" sqref="H7"/>
    </sheetView>
  </sheetViews>
  <sheetFormatPr defaultColWidth="18" defaultRowHeight="15" x14ac:dyDescent="0.25"/>
  <cols>
    <col min="1" max="1" width="5.28515625" style="1" customWidth="1"/>
    <col min="2" max="2" width="15.42578125" style="1" bestFit="1" customWidth="1"/>
    <col min="3" max="3" width="10.7109375" style="1" bestFit="1" customWidth="1"/>
    <col min="4" max="4" width="7.140625" style="1" customWidth="1"/>
    <col min="5" max="5" width="10" style="1" customWidth="1"/>
    <col min="6" max="6" width="9.140625" style="1" customWidth="1"/>
    <col min="7" max="7" width="12.5703125" style="1" customWidth="1"/>
    <col min="8" max="8" width="17.42578125" style="1" bestFit="1" customWidth="1"/>
    <col min="9" max="9" width="10.42578125" style="1" bestFit="1" customWidth="1"/>
    <col min="10" max="10" width="16.28515625" style="1" bestFit="1" customWidth="1"/>
    <col min="11" max="13" width="10.5703125" style="1" bestFit="1" customWidth="1"/>
    <col min="14" max="16384" width="18" style="1"/>
  </cols>
  <sheetData>
    <row r="1" spans="2:17" x14ac:dyDescent="0.25">
      <c r="B1" s="10" t="s">
        <v>0</v>
      </c>
      <c r="C1" s="10"/>
      <c r="D1" s="11"/>
      <c r="E1" s="11"/>
      <c r="F1" s="10"/>
      <c r="G1" s="10"/>
      <c r="H1" s="10"/>
      <c r="I1" s="11"/>
      <c r="J1" s="11"/>
      <c r="K1" s="11"/>
      <c r="L1" s="11"/>
      <c r="M1" s="12"/>
    </row>
    <row r="3" spans="2:17" x14ac:dyDescent="0.25">
      <c r="B3" s="2" t="s">
        <v>43</v>
      </c>
      <c r="C3" s="2" t="s">
        <v>1</v>
      </c>
      <c r="D3" s="2" t="s">
        <v>4</v>
      </c>
      <c r="E3" s="2" t="s">
        <v>47</v>
      </c>
      <c r="F3" s="2" t="s">
        <v>2</v>
      </c>
      <c r="G3" s="5" t="s">
        <v>46</v>
      </c>
      <c r="H3" s="2" t="s">
        <v>3</v>
      </c>
      <c r="I3" s="2" t="s">
        <v>37</v>
      </c>
      <c r="J3" s="2" t="s">
        <v>5</v>
      </c>
      <c r="K3" s="2" t="s">
        <v>44</v>
      </c>
      <c r="L3" s="2" t="s">
        <v>45</v>
      </c>
      <c r="M3" s="2" t="s">
        <v>6</v>
      </c>
    </row>
    <row r="4" spans="2:17" x14ac:dyDescent="0.25">
      <c r="B4" s="1" t="s">
        <v>35</v>
      </c>
      <c r="C4" s="3">
        <v>44600</v>
      </c>
      <c r="D4" s="1">
        <f t="shared" ref="D4:D28" si="0">YEAR(C4)</f>
        <v>2022</v>
      </c>
      <c r="E4" s="6" t="str">
        <f t="shared" ref="E4:E28" si="1">"Q"&amp;ROUNDUP(MONTH(C4)/3,0)</f>
        <v>Q1</v>
      </c>
      <c r="F4" s="6" t="str">
        <f t="shared" ref="F4:F28" si="2">TEXT(C4,"mmm")</f>
        <v>lut</v>
      </c>
      <c r="G4" s="6">
        <v>1</v>
      </c>
      <c r="H4" s="1" t="s">
        <v>36</v>
      </c>
      <c r="I4" s="1" t="s">
        <v>42</v>
      </c>
      <c r="J4" s="1" t="s">
        <v>20</v>
      </c>
      <c r="K4" s="4">
        <v>2409</v>
      </c>
      <c r="L4" s="4">
        <v>2519</v>
      </c>
      <c r="M4" s="4">
        <f t="shared" ref="M4:M28" si="3">L4-K4</f>
        <v>110</v>
      </c>
    </row>
    <row r="5" spans="2:17" x14ac:dyDescent="0.25">
      <c r="B5" s="1" t="s">
        <v>21</v>
      </c>
      <c r="C5" s="3">
        <v>44681</v>
      </c>
      <c r="D5" s="1">
        <f t="shared" si="0"/>
        <v>2022</v>
      </c>
      <c r="E5" s="6" t="str">
        <f t="shared" si="1"/>
        <v>Q2</v>
      </c>
      <c r="F5" s="6" t="str">
        <f t="shared" si="2"/>
        <v>kwi</v>
      </c>
      <c r="G5" s="6">
        <v>7</v>
      </c>
      <c r="H5" s="1" t="s">
        <v>10</v>
      </c>
      <c r="I5" s="1" t="s">
        <v>42</v>
      </c>
      <c r="J5" s="1" t="s">
        <v>23</v>
      </c>
      <c r="K5" s="4">
        <v>1579</v>
      </c>
      <c r="L5" s="4">
        <v>2004</v>
      </c>
      <c r="M5" s="4">
        <f t="shared" si="3"/>
        <v>425</v>
      </c>
    </row>
    <row r="6" spans="2:17" x14ac:dyDescent="0.25">
      <c r="B6" s="1" t="s">
        <v>24</v>
      </c>
      <c r="C6" s="3">
        <v>44708</v>
      </c>
      <c r="D6" s="1">
        <f t="shared" si="0"/>
        <v>2022</v>
      </c>
      <c r="E6" s="6" t="str">
        <f t="shared" si="1"/>
        <v>Q2</v>
      </c>
      <c r="F6" s="6" t="str">
        <f t="shared" si="2"/>
        <v>maj</v>
      </c>
      <c r="G6" s="6">
        <v>6</v>
      </c>
      <c r="H6" s="1" t="s">
        <v>25</v>
      </c>
      <c r="I6" s="1" t="s">
        <v>39</v>
      </c>
      <c r="J6" s="1" t="s">
        <v>26</v>
      </c>
      <c r="K6" s="4">
        <v>1090</v>
      </c>
      <c r="L6" s="4">
        <v>2170</v>
      </c>
      <c r="M6" s="4">
        <f t="shared" si="3"/>
        <v>1080</v>
      </c>
    </row>
    <row r="7" spans="2:17" x14ac:dyDescent="0.25">
      <c r="B7" s="1" t="s">
        <v>33</v>
      </c>
      <c r="C7" s="3">
        <v>44710</v>
      </c>
      <c r="D7" s="1">
        <f t="shared" si="0"/>
        <v>2022</v>
      </c>
      <c r="E7" s="6" t="str">
        <f t="shared" si="1"/>
        <v>Q2</v>
      </c>
      <c r="F7" s="6" t="str">
        <f t="shared" si="2"/>
        <v>maj</v>
      </c>
      <c r="G7" s="6">
        <v>1</v>
      </c>
      <c r="H7" s="1" t="s">
        <v>13</v>
      </c>
      <c r="I7" s="1" t="s">
        <v>41</v>
      </c>
      <c r="J7" s="1" t="s">
        <v>14</v>
      </c>
      <c r="K7" s="4">
        <v>2389</v>
      </c>
      <c r="L7" s="4">
        <v>3289</v>
      </c>
      <c r="M7" s="4">
        <f t="shared" si="3"/>
        <v>900</v>
      </c>
      <c r="Q7" s="3"/>
    </row>
    <row r="8" spans="2:17" x14ac:dyDescent="0.25">
      <c r="B8" s="1" t="s">
        <v>15</v>
      </c>
      <c r="C8" s="3">
        <v>44739</v>
      </c>
      <c r="D8" s="1">
        <f t="shared" si="0"/>
        <v>2022</v>
      </c>
      <c r="E8" s="6" t="str">
        <f t="shared" si="1"/>
        <v>Q2</v>
      </c>
      <c r="F8" s="6" t="str">
        <f t="shared" si="2"/>
        <v>cze</v>
      </c>
      <c r="G8" s="6">
        <v>6</v>
      </c>
      <c r="H8" s="1" t="s">
        <v>22</v>
      </c>
      <c r="I8" s="1" t="s">
        <v>41</v>
      </c>
      <c r="J8" s="1" t="s">
        <v>17</v>
      </c>
      <c r="K8" s="4">
        <v>2140</v>
      </c>
      <c r="L8" s="4">
        <v>2890</v>
      </c>
      <c r="M8" s="4">
        <f t="shared" si="3"/>
        <v>750</v>
      </c>
      <c r="Q8" s="3"/>
    </row>
    <row r="9" spans="2:17" x14ac:dyDescent="0.25">
      <c r="B9" s="1" t="s">
        <v>12</v>
      </c>
      <c r="C9" s="3">
        <v>44748</v>
      </c>
      <c r="D9" s="1">
        <f t="shared" si="0"/>
        <v>2022</v>
      </c>
      <c r="E9" s="6" t="str">
        <f t="shared" si="1"/>
        <v>Q3</v>
      </c>
      <c r="F9" s="6" t="str">
        <f t="shared" si="2"/>
        <v>lip</v>
      </c>
      <c r="G9" s="6">
        <v>7</v>
      </c>
      <c r="H9" s="1" t="s">
        <v>13</v>
      </c>
      <c r="I9" s="1" t="s">
        <v>38</v>
      </c>
      <c r="J9" s="1" t="s">
        <v>14</v>
      </c>
      <c r="K9" s="4">
        <v>2112</v>
      </c>
      <c r="L9" s="4">
        <v>3012</v>
      </c>
      <c r="M9" s="4">
        <f t="shared" si="3"/>
        <v>900</v>
      </c>
      <c r="Q9" s="3"/>
    </row>
    <row r="10" spans="2:17" x14ac:dyDescent="0.25">
      <c r="B10" s="1" t="s">
        <v>30</v>
      </c>
      <c r="C10" s="3">
        <v>44757</v>
      </c>
      <c r="D10" s="1">
        <f t="shared" si="0"/>
        <v>2022</v>
      </c>
      <c r="E10" s="6" t="str">
        <f t="shared" si="1"/>
        <v>Q3</v>
      </c>
      <c r="F10" s="6" t="str">
        <f t="shared" si="2"/>
        <v>lip</v>
      </c>
      <c r="G10" s="6">
        <v>3</v>
      </c>
      <c r="H10" s="1" t="s">
        <v>28</v>
      </c>
      <c r="I10" s="1" t="s">
        <v>40</v>
      </c>
      <c r="J10" s="1" t="s">
        <v>32</v>
      </c>
      <c r="K10" s="4">
        <v>1998</v>
      </c>
      <c r="L10" s="4">
        <v>4253</v>
      </c>
      <c r="M10" s="4">
        <f t="shared" si="3"/>
        <v>2255</v>
      </c>
      <c r="Q10" s="3"/>
    </row>
    <row r="11" spans="2:17" x14ac:dyDescent="0.25">
      <c r="B11" s="1" t="s">
        <v>7</v>
      </c>
      <c r="C11" s="3">
        <v>44762</v>
      </c>
      <c r="D11" s="1">
        <f t="shared" si="0"/>
        <v>2022</v>
      </c>
      <c r="E11" s="6" t="str">
        <f t="shared" si="1"/>
        <v>Q3</v>
      </c>
      <c r="F11" s="6" t="str">
        <f t="shared" si="2"/>
        <v>lip</v>
      </c>
      <c r="G11" s="6">
        <v>6</v>
      </c>
      <c r="H11" s="1" t="s">
        <v>36</v>
      </c>
      <c r="I11" s="1" t="s">
        <v>38</v>
      </c>
      <c r="J11" s="1" t="s">
        <v>8</v>
      </c>
      <c r="K11" s="4">
        <v>2906</v>
      </c>
      <c r="L11" s="4">
        <v>3356</v>
      </c>
      <c r="M11" s="4">
        <f t="shared" si="3"/>
        <v>450</v>
      </c>
    </row>
    <row r="12" spans="2:17" x14ac:dyDescent="0.25">
      <c r="B12" s="1" t="s">
        <v>27</v>
      </c>
      <c r="C12" s="3">
        <v>44766</v>
      </c>
      <c r="D12" s="1">
        <f t="shared" si="0"/>
        <v>2022</v>
      </c>
      <c r="E12" s="6" t="str">
        <f t="shared" si="1"/>
        <v>Q3</v>
      </c>
      <c r="F12" s="6" t="str">
        <f t="shared" si="2"/>
        <v>lip</v>
      </c>
      <c r="G12" s="6">
        <v>6</v>
      </c>
      <c r="H12" s="1" t="s">
        <v>16</v>
      </c>
      <c r="I12" s="1" t="s">
        <v>40</v>
      </c>
      <c r="J12" s="1" t="s">
        <v>29</v>
      </c>
      <c r="K12" s="4">
        <v>1709</v>
      </c>
      <c r="L12" s="4">
        <v>2334</v>
      </c>
      <c r="M12" s="4">
        <f t="shared" si="3"/>
        <v>625</v>
      </c>
    </row>
    <row r="13" spans="2:17" x14ac:dyDescent="0.25">
      <c r="B13" s="1" t="s">
        <v>12</v>
      </c>
      <c r="C13" s="3">
        <v>44815</v>
      </c>
      <c r="D13" s="1">
        <f t="shared" si="0"/>
        <v>2022</v>
      </c>
      <c r="E13" s="6" t="str">
        <f t="shared" si="1"/>
        <v>Q3</v>
      </c>
      <c r="F13" s="6" t="str">
        <f t="shared" si="2"/>
        <v>wrz</v>
      </c>
      <c r="G13" s="6">
        <v>2</v>
      </c>
      <c r="H13" s="1" t="s">
        <v>22</v>
      </c>
      <c r="I13" s="1" t="s">
        <v>38</v>
      </c>
      <c r="J13" s="1" t="s">
        <v>14</v>
      </c>
      <c r="K13" s="4">
        <v>1804</v>
      </c>
      <c r="L13" s="4">
        <v>2784</v>
      </c>
      <c r="M13" s="4">
        <f t="shared" si="3"/>
        <v>980</v>
      </c>
    </row>
    <row r="14" spans="2:17" x14ac:dyDescent="0.25">
      <c r="B14" s="1" t="s">
        <v>12</v>
      </c>
      <c r="C14" s="3">
        <v>44831</v>
      </c>
      <c r="D14" s="1">
        <f t="shared" si="0"/>
        <v>2022</v>
      </c>
      <c r="E14" s="6" t="str">
        <f t="shared" si="1"/>
        <v>Q3</v>
      </c>
      <c r="F14" s="6" t="str">
        <f t="shared" si="2"/>
        <v>wrz</v>
      </c>
      <c r="G14" s="6">
        <v>5</v>
      </c>
      <c r="H14" s="1" t="s">
        <v>28</v>
      </c>
      <c r="I14" s="1" t="s">
        <v>38</v>
      </c>
      <c r="J14" s="1" t="s">
        <v>14</v>
      </c>
      <c r="K14" s="4">
        <v>2224</v>
      </c>
      <c r="L14" s="4">
        <v>4369</v>
      </c>
      <c r="M14" s="4">
        <f t="shared" si="3"/>
        <v>2145</v>
      </c>
    </row>
    <row r="15" spans="2:17" x14ac:dyDescent="0.25">
      <c r="B15" s="1" t="s">
        <v>21</v>
      </c>
      <c r="C15" s="3">
        <v>44836</v>
      </c>
      <c r="D15" s="1">
        <f t="shared" si="0"/>
        <v>2022</v>
      </c>
      <c r="E15" s="6" t="str">
        <f t="shared" si="1"/>
        <v>Q4</v>
      </c>
      <c r="F15" s="6" t="str">
        <f t="shared" si="2"/>
        <v>paź</v>
      </c>
      <c r="G15" s="6">
        <v>5</v>
      </c>
      <c r="H15" s="1" t="s">
        <v>22</v>
      </c>
      <c r="I15" s="1" t="s">
        <v>42</v>
      </c>
      <c r="J15" s="1" t="s">
        <v>23</v>
      </c>
      <c r="K15" s="4">
        <v>2723</v>
      </c>
      <c r="L15" s="4">
        <v>3328</v>
      </c>
      <c r="M15" s="4">
        <f t="shared" si="3"/>
        <v>605</v>
      </c>
    </row>
    <row r="16" spans="2:17" x14ac:dyDescent="0.25">
      <c r="B16" s="1" t="s">
        <v>7</v>
      </c>
      <c r="C16" s="3">
        <v>44863</v>
      </c>
      <c r="D16" s="1">
        <f t="shared" si="0"/>
        <v>2022</v>
      </c>
      <c r="E16" s="6" t="str">
        <f t="shared" si="1"/>
        <v>Q4</v>
      </c>
      <c r="F16" s="6" t="str">
        <f t="shared" si="2"/>
        <v>paź</v>
      </c>
      <c r="G16" s="6">
        <v>5</v>
      </c>
      <c r="H16" s="1" t="s">
        <v>22</v>
      </c>
      <c r="I16" s="1" t="s">
        <v>38</v>
      </c>
      <c r="J16" s="1" t="s">
        <v>8</v>
      </c>
      <c r="K16" s="4">
        <v>2447</v>
      </c>
      <c r="L16" s="4">
        <v>3097</v>
      </c>
      <c r="M16" s="4">
        <f t="shared" si="3"/>
        <v>650</v>
      </c>
    </row>
    <row r="17" spans="2:13" x14ac:dyDescent="0.25">
      <c r="B17" s="1" t="s">
        <v>24</v>
      </c>
      <c r="C17" s="3">
        <v>44870</v>
      </c>
      <c r="D17" s="1">
        <f t="shared" si="0"/>
        <v>2022</v>
      </c>
      <c r="E17" s="6" t="str">
        <f t="shared" si="1"/>
        <v>Q4</v>
      </c>
      <c r="F17" s="6" t="str">
        <f t="shared" si="2"/>
        <v>lis</v>
      </c>
      <c r="G17" s="6">
        <v>2</v>
      </c>
      <c r="H17" s="1" t="s">
        <v>13</v>
      </c>
      <c r="I17" s="1" t="s">
        <v>39</v>
      </c>
      <c r="J17" s="1" t="s">
        <v>26</v>
      </c>
      <c r="K17" s="4">
        <v>2116</v>
      </c>
      <c r="L17" s="4">
        <v>2591</v>
      </c>
      <c r="M17" s="4">
        <f t="shared" si="3"/>
        <v>475</v>
      </c>
    </row>
    <row r="18" spans="2:13" x14ac:dyDescent="0.25">
      <c r="B18" s="1" t="s">
        <v>18</v>
      </c>
      <c r="C18" s="3">
        <v>44899</v>
      </c>
      <c r="D18" s="1">
        <f t="shared" si="0"/>
        <v>2022</v>
      </c>
      <c r="E18" s="6" t="str">
        <f t="shared" si="1"/>
        <v>Q4</v>
      </c>
      <c r="F18" s="6" t="str">
        <f t="shared" si="2"/>
        <v>gru</v>
      </c>
      <c r="G18" s="6">
        <v>1</v>
      </c>
      <c r="H18" s="1" t="s">
        <v>19</v>
      </c>
      <c r="I18" s="1" t="s">
        <v>38</v>
      </c>
      <c r="J18" s="1" t="s">
        <v>20</v>
      </c>
      <c r="K18" s="4">
        <v>1516</v>
      </c>
      <c r="L18" s="4">
        <v>1912</v>
      </c>
      <c r="M18" s="4">
        <f t="shared" si="3"/>
        <v>396</v>
      </c>
    </row>
    <row r="19" spans="2:13" x14ac:dyDescent="0.25">
      <c r="B19" s="1" t="s">
        <v>9</v>
      </c>
      <c r="C19" s="3">
        <v>44907</v>
      </c>
      <c r="D19" s="1">
        <f t="shared" si="0"/>
        <v>2022</v>
      </c>
      <c r="E19" s="6" t="str">
        <f t="shared" si="1"/>
        <v>Q4</v>
      </c>
      <c r="F19" s="6" t="str">
        <f t="shared" si="2"/>
        <v>gru</v>
      </c>
      <c r="G19" s="6">
        <v>5</v>
      </c>
      <c r="H19" s="1" t="s">
        <v>25</v>
      </c>
      <c r="I19" s="1" t="s">
        <v>42</v>
      </c>
      <c r="J19" s="1" t="s">
        <v>11</v>
      </c>
      <c r="K19" s="4">
        <v>1853</v>
      </c>
      <c r="L19" s="4">
        <v>3053</v>
      </c>
      <c r="M19" s="4">
        <f t="shared" si="3"/>
        <v>1200</v>
      </c>
    </row>
    <row r="20" spans="2:13" x14ac:dyDescent="0.25">
      <c r="B20" s="1" t="s">
        <v>9</v>
      </c>
      <c r="C20" s="3">
        <v>44924</v>
      </c>
      <c r="D20" s="1">
        <f t="shared" si="0"/>
        <v>2022</v>
      </c>
      <c r="E20" s="6" t="str">
        <f t="shared" si="1"/>
        <v>Q4</v>
      </c>
      <c r="F20" s="6" t="str">
        <f t="shared" si="2"/>
        <v>gru</v>
      </c>
      <c r="G20" s="6">
        <v>3</v>
      </c>
      <c r="H20" s="1" t="s">
        <v>10</v>
      </c>
      <c r="I20" s="1" t="s">
        <v>42</v>
      </c>
      <c r="J20" s="1" t="s">
        <v>11</v>
      </c>
      <c r="K20" s="4">
        <v>2845</v>
      </c>
      <c r="L20" s="4">
        <v>3160</v>
      </c>
      <c r="M20" s="4">
        <f t="shared" si="3"/>
        <v>315</v>
      </c>
    </row>
    <row r="21" spans="2:13" x14ac:dyDescent="0.25">
      <c r="B21" s="1" t="s">
        <v>7</v>
      </c>
      <c r="C21" s="3">
        <v>44954</v>
      </c>
      <c r="D21" s="1">
        <f t="shared" si="0"/>
        <v>2023</v>
      </c>
      <c r="E21" s="6" t="str">
        <f t="shared" si="1"/>
        <v>Q1</v>
      </c>
      <c r="F21" s="6" t="str">
        <f t="shared" si="2"/>
        <v>sty</v>
      </c>
      <c r="G21" s="6">
        <v>3</v>
      </c>
      <c r="H21" s="1" t="s">
        <v>22</v>
      </c>
      <c r="I21" s="1" t="s">
        <v>38</v>
      </c>
      <c r="J21" s="1" t="s">
        <v>8</v>
      </c>
      <c r="K21" s="4">
        <v>1408</v>
      </c>
      <c r="L21" s="4">
        <v>2258</v>
      </c>
      <c r="M21" s="4">
        <f t="shared" si="3"/>
        <v>850</v>
      </c>
    </row>
    <row r="22" spans="2:13" x14ac:dyDescent="0.25">
      <c r="B22" s="1" t="s">
        <v>15</v>
      </c>
      <c r="C22" s="3">
        <v>44962</v>
      </c>
      <c r="D22" s="1">
        <f t="shared" si="0"/>
        <v>2023</v>
      </c>
      <c r="E22" s="6" t="str">
        <f t="shared" si="1"/>
        <v>Q1</v>
      </c>
      <c r="F22" s="6" t="str">
        <f t="shared" si="2"/>
        <v>lut</v>
      </c>
      <c r="G22" s="6">
        <v>1</v>
      </c>
      <c r="H22" s="1" t="s">
        <v>16</v>
      </c>
      <c r="I22" s="1" t="s">
        <v>41</v>
      </c>
      <c r="J22" s="1" t="s">
        <v>17</v>
      </c>
      <c r="K22" s="4">
        <v>2844</v>
      </c>
      <c r="L22" s="4">
        <v>3444</v>
      </c>
      <c r="M22" s="4">
        <f t="shared" si="3"/>
        <v>600</v>
      </c>
    </row>
    <row r="23" spans="2:13" x14ac:dyDescent="0.25">
      <c r="B23" s="1" t="s">
        <v>18</v>
      </c>
      <c r="C23" s="3">
        <v>44966</v>
      </c>
      <c r="D23" s="1">
        <f t="shared" si="0"/>
        <v>2023</v>
      </c>
      <c r="E23" s="6" t="str">
        <f t="shared" si="1"/>
        <v>Q1</v>
      </c>
      <c r="F23" s="6" t="str">
        <f t="shared" si="2"/>
        <v>lut</v>
      </c>
      <c r="G23" s="6">
        <v>6</v>
      </c>
      <c r="H23" s="1" t="s">
        <v>36</v>
      </c>
      <c r="I23" s="1" t="s">
        <v>38</v>
      </c>
      <c r="J23" s="1" t="s">
        <v>20</v>
      </c>
      <c r="K23" s="4">
        <v>1443</v>
      </c>
      <c r="L23" s="4">
        <v>1553</v>
      </c>
      <c r="M23" s="4">
        <f t="shared" si="3"/>
        <v>110</v>
      </c>
    </row>
    <row r="24" spans="2:13" x14ac:dyDescent="0.25">
      <c r="B24" s="1" t="s">
        <v>15</v>
      </c>
      <c r="C24" s="3">
        <v>44973</v>
      </c>
      <c r="D24" s="1">
        <f t="shared" si="0"/>
        <v>2023</v>
      </c>
      <c r="E24" s="6" t="str">
        <f t="shared" si="1"/>
        <v>Q1</v>
      </c>
      <c r="F24" s="6" t="str">
        <f t="shared" si="2"/>
        <v>lut</v>
      </c>
      <c r="G24" s="6">
        <v>1</v>
      </c>
      <c r="H24" s="1" t="s">
        <v>25</v>
      </c>
      <c r="I24" s="1" t="s">
        <v>41</v>
      </c>
      <c r="J24" s="1" t="s">
        <v>17</v>
      </c>
      <c r="K24" s="4">
        <v>1999</v>
      </c>
      <c r="L24" s="4">
        <v>3349</v>
      </c>
      <c r="M24" s="4">
        <f t="shared" si="3"/>
        <v>1350</v>
      </c>
    </row>
    <row r="25" spans="2:13" x14ac:dyDescent="0.25">
      <c r="B25" s="1" t="s">
        <v>27</v>
      </c>
      <c r="C25" s="3">
        <v>45052</v>
      </c>
      <c r="D25" s="1">
        <f t="shared" si="0"/>
        <v>2023</v>
      </c>
      <c r="E25" s="6" t="str">
        <f t="shared" si="1"/>
        <v>Q2</v>
      </c>
      <c r="F25" s="6" t="str">
        <f t="shared" si="2"/>
        <v>maj</v>
      </c>
      <c r="G25" s="6">
        <v>3</v>
      </c>
      <c r="H25" s="1" t="s">
        <v>28</v>
      </c>
      <c r="I25" s="1" t="s">
        <v>40</v>
      </c>
      <c r="J25" s="1" t="s">
        <v>29</v>
      </c>
      <c r="K25" s="4">
        <v>1928</v>
      </c>
      <c r="L25" s="4">
        <v>3498</v>
      </c>
      <c r="M25" s="4">
        <f t="shared" si="3"/>
        <v>1570</v>
      </c>
    </row>
    <row r="26" spans="2:13" x14ac:dyDescent="0.25">
      <c r="B26" s="1" t="s">
        <v>30</v>
      </c>
      <c r="C26" s="3">
        <v>45069</v>
      </c>
      <c r="D26" s="1">
        <f t="shared" si="0"/>
        <v>2023</v>
      </c>
      <c r="E26" s="6" t="str">
        <f t="shared" si="1"/>
        <v>Q2</v>
      </c>
      <c r="F26" s="6" t="str">
        <f t="shared" si="2"/>
        <v>maj</v>
      </c>
      <c r="G26" s="6">
        <v>2</v>
      </c>
      <c r="H26" s="1" t="s">
        <v>31</v>
      </c>
      <c r="I26" s="1" t="s">
        <v>40</v>
      </c>
      <c r="J26" s="1" t="s">
        <v>32</v>
      </c>
      <c r="K26" s="4">
        <v>1670</v>
      </c>
      <c r="L26" s="4">
        <v>3200</v>
      </c>
      <c r="M26" s="4">
        <f t="shared" si="3"/>
        <v>1530</v>
      </c>
    </row>
    <row r="27" spans="2:13" x14ac:dyDescent="0.25">
      <c r="B27" s="1" t="s">
        <v>34</v>
      </c>
      <c r="C27" s="3">
        <v>45095</v>
      </c>
      <c r="D27" s="1">
        <f t="shared" si="0"/>
        <v>2023</v>
      </c>
      <c r="E27" s="6" t="str">
        <f t="shared" si="1"/>
        <v>Q2</v>
      </c>
      <c r="F27" s="6" t="str">
        <f t="shared" si="2"/>
        <v>cze</v>
      </c>
      <c r="G27" s="6">
        <v>7</v>
      </c>
      <c r="H27" s="1" t="s">
        <v>19</v>
      </c>
      <c r="I27" s="1" t="s">
        <v>39</v>
      </c>
      <c r="J27" s="1" t="s">
        <v>20</v>
      </c>
      <c r="K27" s="4">
        <v>1406</v>
      </c>
      <c r="L27" s="4">
        <v>1796</v>
      </c>
      <c r="M27" s="4">
        <f t="shared" si="3"/>
        <v>390</v>
      </c>
    </row>
    <row r="28" spans="2:13" x14ac:dyDescent="0.25">
      <c r="B28" s="1" t="s">
        <v>9</v>
      </c>
      <c r="C28" s="3">
        <v>45124</v>
      </c>
      <c r="D28" s="1">
        <f t="shared" si="0"/>
        <v>2023</v>
      </c>
      <c r="E28" s="6" t="str">
        <f t="shared" si="1"/>
        <v>Q3</v>
      </c>
      <c r="F28" s="6" t="str">
        <f t="shared" si="2"/>
        <v>lip</v>
      </c>
      <c r="G28" s="6">
        <v>3</v>
      </c>
      <c r="H28" s="1" t="s">
        <v>36</v>
      </c>
      <c r="I28" s="1" t="s">
        <v>42</v>
      </c>
      <c r="J28" s="1" t="s">
        <v>11</v>
      </c>
      <c r="K28" s="4">
        <v>2454</v>
      </c>
      <c r="L28" s="4">
        <v>3034</v>
      </c>
      <c r="M28" s="4">
        <f t="shared" si="3"/>
        <v>580</v>
      </c>
    </row>
  </sheetData>
  <sortState xmlns:xlrd2="http://schemas.microsoft.com/office/spreadsheetml/2017/richdata2" ref="B4:M28">
    <sortCondition ref="C4:C28"/>
  </sortState>
  <phoneticPr fontId="0" type="noConversion"/>
  <printOptions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4081E-3A3C-4C13-8839-875EFE991C5E}">
  <sheetPr codeName="Arkusz2"/>
  <dimension ref="A1:G14"/>
  <sheetViews>
    <sheetView showGridLines="0" workbookViewId="0">
      <selection activeCell="E27" sqref="E27"/>
    </sheetView>
  </sheetViews>
  <sheetFormatPr defaultRowHeight="12.75" x14ac:dyDescent="0.2"/>
  <cols>
    <col min="1" max="1" width="15.140625" bestFit="1" customWidth="1"/>
    <col min="2" max="2" width="16.28515625" bestFit="1" customWidth="1"/>
    <col min="3" max="4" width="11.42578125" bestFit="1" customWidth="1"/>
    <col min="5" max="5" width="10.42578125" bestFit="1" customWidth="1"/>
    <col min="6" max="7" width="11.42578125" bestFit="1" customWidth="1"/>
  </cols>
  <sheetData>
    <row r="1" spans="1:7" x14ac:dyDescent="0.2">
      <c r="A1" s="7" t="s">
        <v>43</v>
      </c>
      <c r="B1" t="s">
        <v>48</v>
      </c>
    </row>
    <row r="3" spans="1:7" x14ac:dyDescent="0.2">
      <c r="A3" s="7" t="s">
        <v>52</v>
      </c>
      <c r="B3" s="7" t="s">
        <v>51</v>
      </c>
    </row>
    <row r="4" spans="1:7" x14ac:dyDescent="0.2">
      <c r="A4" s="7" t="s">
        <v>49</v>
      </c>
      <c r="B4" t="s">
        <v>41</v>
      </c>
      <c r="C4" t="s">
        <v>38</v>
      </c>
      <c r="D4" t="s">
        <v>40</v>
      </c>
      <c r="E4" t="s">
        <v>39</v>
      </c>
      <c r="F4" t="s">
        <v>42</v>
      </c>
      <c r="G4" t="s">
        <v>50</v>
      </c>
    </row>
    <row r="5" spans="1:7" x14ac:dyDescent="0.2">
      <c r="A5" s="8" t="s">
        <v>11</v>
      </c>
      <c r="B5" s="9"/>
      <c r="C5" s="9"/>
      <c r="D5" s="9"/>
      <c r="E5" s="9"/>
      <c r="F5" s="9">
        <v>9247</v>
      </c>
      <c r="G5" s="9">
        <v>9247</v>
      </c>
    </row>
    <row r="6" spans="1:7" x14ac:dyDescent="0.2">
      <c r="A6" s="8" t="s">
        <v>23</v>
      </c>
      <c r="B6" s="9"/>
      <c r="C6" s="9"/>
      <c r="D6" s="9"/>
      <c r="E6" s="9"/>
      <c r="F6" s="9">
        <v>5332</v>
      </c>
      <c r="G6" s="9">
        <v>5332</v>
      </c>
    </row>
    <row r="7" spans="1:7" x14ac:dyDescent="0.2">
      <c r="A7" s="8" t="s">
        <v>32</v>
      </c>
      <c r="B7" s="9"/>
      <c r="C7" s="9"/>
      <c r="D7" s="9">
        <v>7453</v>
      </c>
      <c r="E7" s="9"/>
      <c r="F7" s="9"/>
      <c r="G7" s="9">
        <v>7453</v>
      </c>
    </row>
    <row r="8" spans="1:7" x14ac:dyDescent="0.2">
      <c r="A8" s="8" t="s">
        <v>14</v>
      </c>
      <c r="B8" s="9">
        <v>3289</v>
      </c>
      <c r="C8" s="9">
        <v>10165</v>
      </c>
      <c r="D8" s="9"/>
      <c r="E8" s="9"/>
      <c r="F8" s="9"/>
      <c r="G8" s="9">
        <v>13454</v>
      </c>
    </row>
    <row r="9" spans="1:7" x14ac:dyDescent="0.2">
      <c r="A9" s="8" t="s">
        <v>8</v>
      </c>
      <c r="B9" s="9"/>
      <c r="C9" s="9">
        <v>8711</v>
      </c>
      <c r="D9" s="9"/>
      <c r="E9" s="9"/>
      <c r="F9" s="9"/>
      <c r="G9" s="9">
        <v>8711</v>
      </c>
    </row>
    <row r="10" spans="1:7" x14ac:dyDescent="0.2">
      <c r="A10" s="8" t="s">
        <v>26</v>
      </c>
      <c r="B10" s="9"/>
      <c r="C10" s="9"/>
      <c r="D10" s="9"/>
      <c r="E10" s="9">
        <v>4761</v>
      </c>
      <c r="F10" s="9"/>
      <c r="G10" s="9">
        <v>4761</v>
      </c>
    </row>
    <row r="11" spans="1:7" x14ac:dyDescent="0.2">
      <c r="A11" s="8" t="s">
        <v>17</v>
      </c>
      <c r="B11" s="9">
        <v>9683</v>
      </c>
      <c r="C11" s="9"/>
      <c r="D11" s="9"/>
      <c r="E11" s="9"/>
      <c r="F11" s="9"/>
      <c r="G11" s="9">
        <v>9683</v>
      </c>
    </row>
    <row r="12" spans="1:7" x14ac:dyDescent="0.2">
      <c r="A12" s="8" t="s">
        <v>20</v>
      </c>
      <c r="B12" s="9"/>
      <c r="C12" s="9">
        <v>3465</v>
      </c>
      <c r="D12" s="9"/>
      <c r="E12" s="9">
        <v>1796</v>
      </c>
      <c r="F12" s="9">
        <v>2519</v>
      </c>
      <c r="G12" s="9">
        <v>7780</v>
      </c>
    </row>
    <row r="13" spans="1:7" x14ac:dyDescent="0.2">
      <c r="A13" s="8" t="s">
        <v>29</v>
      </c>
      <c r="B13" s="9"/>
      <c r="C13" s="9"/>
      <c r="D13" s="9">
        <v>5832</v>
      </c>
      <c r="E13" s="9"/>
      <c r="F13" s="9"/>
      <c r="G13" s="9">
        <v>5832</v>
      </c>
    </row>
    <row r="14" spans="1:7" x14ac:dyDescent="0.2">
      <c r="A14" s="8" t="s">
        <v>50</v>
      </c>
      <c r="B14" s="9">
        <v>12972</v>
      </c>
      <c r="C14" s="9">
        <v>22341</v>
      </c>
      <c r="D14" s="9">
        <v>13285</v>
      </c>
      <c r="E14" s="9">
        <v>6557</v>
      </c>
      <c r="F14" s="9">
        <v>17098</v>
      </c>
      <c r="G14" s="9">
        <v>72253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07B4-1355-49D3-AC51-05392A0634B1}">
  <sheetPr codeName="Arkusz3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7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38</v>
      </c>
      <c r="C4" t="s">
        <v>55</v>
      </c>
    </row>
    <row r="5" spans="1:3" x14ac:dyDescent="0.2">
      <c r="A5" s="8" t="s">
        <v>8</v>
      </c>
      <c r="B5" s="9">
        <v>8711</v>
      </c>
      <c r="C5" s="9">
        <v>8711</v>
      </c>
    </row>
    <row r="6" spans="1:3" x14ac:dyDescent="0.2">
      <c r="A6" s="8" t="s">
        <v>55</v>
      </c>
      <c r="B6" s="9">
        <v>8711</v>
      </c>
      <c r="C6" s="9">
        <v>8711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4A8E4-9A39-44D5-BAB1-EA6D8F787250}">
  <sheetPr codeName="Arkusz4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24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39</v>
      </c>
      <c r="C4" t="s">
        <v>55</v>
      </c>
    </row>
    <row r="5" spans="1:3" x14ac:dyDescent="0.2">
      <c r="A5" s="8" t="s">
        <v>26</v>
      </c>
      <c r="B5" s="9">
        <v>4761</v>
      </c>
      <c r="C5" s="9">
        <v>4761</v>
      </c>
    </row>
    <row r="6" spans="1:3" x14ac:dyDescent="0.2">
      <c r="A6" s="8" t="s">
        <v>55</v>
      </c>
      <c r="B6" s="9">
        <v>4761</v>
      </c>
      <c r="C6" s="9">
        <v>4761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8A8ED-1F10-4904-A448-3858233E3B3A}">
  <sheetPr codeName="Arkusz5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27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40</v>
      </c>
      <c r="C4" t="s">
        <v>55</v>
      </c>
    </row>
    <row r="5" spans="1:3" x14ac:dyDescent="0.2">
      <c r="A5" s="8" t="s">
        <v>29</v>
      </c>
      <c r="B5" s="9">
        <v>5832</v>
      </c>
      <c r="C5" s="9">
        <v>5832</v>
      </c>
    </row>
    <row r="6" spans="1:3" x14ac:dyDescent="0.2">
      <c r="A6" s="8" t="s">
        <v>55</v>
      </c>
      <c r="B6" s="9">
        <v>5832</v>
      </c>
      <c r="C6" s="9">
        <v>5832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F1CA7-EE65-45CE-8DF4-F6A9C9ABEBC3}">
  <sheetPr codeName="Arkusz6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33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41</v>
      </c>
      <c r="C4" t="s">
        <v>55</v>
      </c>
    </row>
    <row r="5" spans="1:3" x14ac:dyDescent="0.2">
      <c r="A5" s="8" t="s">
        <v>14</v>
      </c>
      <c r="B5" s="9">
        <v>3289</v>
      </c>
      <c r="C5" s="9">
        <v>3289</v>
      </c>
    </row>
    <row r="6" spans="1:3" x14ac:dyDescent="0.2">
      <c r="A6" s="8" t="s">
        <v>55</v>
      </c>
      <c r="B6" s="9">
        <v>3289</v>
      </c>
      <c r="C6" s="9">
        <v>3289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1DAD-C9B4-46A4-842F-79C0A9F23ABA}">
  <sheetPr codeName="Arkusz7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15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41</v>
      </c>
      <c r="C4" t="s">
        <v>55</v>
      </c>
    </row>
    <row r="5" spans="1:3" x14ac:dyDescent="0.2">
      <c r="A5" s="8" t="s">
        <v>17</v>
      </c>
      <c r="B5" s="9">
        <v>9683</v>
      </c>
      <c r="C5" s="9">
        <v>9683</v>
      </c>
    </row>
    <row r="6" spans="1:3" x14ac:dyDescent="0.2">
      <c r="A6" s="8" t="s">
        <v>55</v>
      </c>
      <c r="B6" s="9">
        <v>9683</v>
      </c>
      <c r="C6" s="9">
        <v>9683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692B7-8294-4CE3-87C4-2A48719C3D80}">
  <sheetPr codeName="Arkusz8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21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42</v>
      </c>
      <c r="C4" t="s">
        <v>55</v>
      </c>
    </row>
    <row r="5" spans="1:3" x14ac:dyDescent="0.2">
      <c r="A5" s="8" t="s">
        <v>23</v>
      </c>
      <c r="B5" s="9">
        <v>5332</v>
      </c>
      <c r="C5" s="9">
        <v>5332</v>
      </c>
    </row>
    <row r="6" spans="1:3" x14ac:dyDescent="0.2">
      <c r="A6" s="8" t="s">
        <v>55</v>
      </c>
      <c r="B6" s="9">
        <v>5332</v>
      </c>
      <c r="C6" s="9">
        <v>5332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BDBC-4403-4D13-A373-9E16EC1F7875}">
  <sheetPr codeName="Arkusz9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35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42</v>
      </c>
      <c r="C4" t="s">
        <v>55</v>
      </c>
    </row>
    <row r="5" spans="1:3" x14ac:dyDescent="0.2">
      <c r="A5" s="8" t="s">
        <v>20</v>
      </c>
      <c r="B5" s="9">
        <v>2519</v>
      </c>
      <c r="C5" s="9">
        <v>2519</v>
      </c>
    </row>
    <row r="6" spans="1:3" x14ac:dyDescent="0.2">
      <c r="A6" s="8" t="s">
        <v>55</v>
      </c>
      <c r="B6" s="9">
        <v>2519</v>
      </c>
      <c r="C6" s="9">
        <v>2519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FCFA-467C-4271-9F53-F06CD0A3F5C3}">
  <sheetPr codeName="Arkusz10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12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38</v>
      </c>
      <c r="C4" t="s">
        <v>55</v>
      </c>
    </row>
    <row r="5" spans="1:3" x14ac:dyDescent="0.2">
      <c r="A5" s="8" t="s">
        <v>14</v>
      </c>
      <c r="B5" s="9">
        <v>10165</v>
      </c>
      <c r="C5" s="9">
        <v>10165</v>
      </c>
    </row>
    <row r="6" spans="1:3" x14ac:dyDescent="0.2">
      <c r="A6" s="8" t="s">
        <v>55</v>
      </c>
      <c r="B6" s="9">
        <v>10165</v>
      </c>
      <c r="C6" s="9">
        <v>10165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869AA-E21C-49A0-A992-B5FCCA1B23F0}">
  <sheetPr codeName="Arkusz11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30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40</v>
      </c>
      <c r="C4" t="s">
        <v>55</v>
      </c>
    </row>
    <row r="5" spans="1:3" x14ac:dyDescent="0.2">
      <c r="A5" s="8" t="s">
        <v>32</v>
      </c>
      <c r="B5" s="9">
        <v>7453</v>
      </c>
      <c r="C5" s="9">
        <v>7453</v>
      </c>
    </row>
    <row r="6" spans="1:3" x14ac:dyDescent="0.2">
      <c r="A6" s="8" t="s">
        <v>55</v>
      </c>
      <c r="B6" s="9">
        <v>7453</v>
      </c>
      <c r="C6" s="9">
        <v>7453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593FC-41D4-4EDC-BC12-8A1D7F6DF5F3}">
  <sheetPr codeName="Arkusz12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34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39</v>
      </c>
      <c r="C4" t="s">
        <v>55</v>
      </c>
    </row>
    <row r="5" spans="1:3" x14ac:dyDescent="0.2">
      <c r="A5" s="8" t="s">
        <v>20</v>
      </c>
      <c r="B5" s="9">
        <v>1796</v>
      </c>
      <c r="C5" s="9">
        <v>1796</v>
      </c>
    </row>
    <row r="6" spans="1:3" x14ac:dyDescent="0.2">
      <c r="A6" s="8" t="s">
        <v>55</v>
      </c>
      <c r="B6" s="9">
        <v>1796</v>
      </c>
      <c r="C6" s="9">
        <v>1796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F022B-B212-4B61-B4A7-975BD74FE4FC}">
  <sheetPr codeName="Arkusz13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18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38</v>
      </c>
      <c r="C4" t="s">
        <v>55</v>
      </c>
    </row>
    <row r="5" spans="1:3" x14ac:dyDescent="0.2">
      <c r="A5" s="8" t="s">
        <v>20</v>
      </c>
      <c r="B5" s="9">
        <v>3465</v>
      </c>
      <c r="C5" s="9">
        <v>3465</v>
      </c>
    </row>
    <row r="6" spans="1:3" x14ac:dyDescent="0.2">
      <c r="A6" s="8" t="s">
        <v>55</v>
      </c>
      <c r="B6" s="9">
        <v>3465</v>
      </c>
      <c r="C6" s="9">
        <v>3465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79AEB-2431-44F2-AC12-5FD0D7A72FF2}">
  <sheetPr codeName="Arkusz14"/>
  <dimension ref="A1:C6"/>
  <sheetViews>
    <sheetView workbookViewId="0"/>
  </sheetViews>
  <sheetFormatPr defaultRowHeight="12.75" x14ac:dyDescent="0.2"/>
  <cols>
    <col min="1" max="1" width="17.85546875" bestFit="1" customWidth="1"/>
    <col min="2" max="2" width="17.7109375" bestFit="1" customWidth="1"/>
    <col min="3" max="3" width="15.140625" bestFit="1" customWidth="1"/>
  </cols>
  <sheetData>
    <row r="1" spans="1:3" x14ac:dyDescent="0.2">
      <c r="A1" s="7" t="s">
        <v>43</v>
      </c>
      <c r="B1" t="s">
        <v>9</v>
      </c>
    </row>
    <row r="3" spans="1:3" x14ac:dyDescent="0.2">
      <c r="A3" s="7" t="s">
        <v>52</v>
      </c>
      <c r="B3" s="7" t="s">
        <v>53</v>
      </c>
    </row>
    <row r="4" spans="1:3" x14ac:dyDescent="0.2">
      <c r="A4" s="7" t="s">
        <v>54</v>
      </c>
      <c r="B4" t="s">
        <v>42</v>
      </c>
      <c r="C4" t="s">
        <v>55</v>
      </c>
    </row>
    <row r="5" spans="1:3" x14ac:dyDescent="0.2">
      <c r="A5" s="8" t="s">
        <v>11</v>
      </c>
      <c r="B5" s="9">
        <v>9247</v>
      </c>
      <c r="C5" s="9">
        <v>9247</v>
      </c>
    </row>
    <row r="6" spans="1:3" x14ac:dyDescent="0.2">
      <c r="A6" s="8" t="s">
        <v>55</v>
      </c>
      <c r="B6" s="9">
        <v>9247</v>
      </c>
      <c r="C6" s="9">
        <v>9247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8A9E9F-A9B3-4299-8B9F-230A9FCE21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Sales</vt:lpstr>
      <vt:lpstr>Master Report</vt:lpstr>
      <vt:lpstr>Alice Abramas</vt:lpstr>
      <vt:lpstr>Ernest Feldgus</vt:lpstr>
      <vt:lpstr>Frank Killough</vt:lpstr>
      <vt:lpstr>Frank Mann</vt:lpstr>
      <vt:lpstr>Fred Edwards</vt:lpstr>
      <vt:lpstr>Janice Faraco</vt:lpstr>
      <vt:lpstr>Joe Marks</vt:lpstr>
      <vt:lpstr>John Carpenter</vt:lpstr>
      <vt:lpstr>Perry Weinstein</vt:lpstr>
      <vt:lpstr>Sandy Brady</vt:lpstr>
      <vt:lpstr>Susan Edwards</vt:lpstr>
      <vt:lpstr>Terry Caracio</vt:lpstr>
    </vt:vector>
  </TitlesOfParts>
  <Company>Training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Elaine Kramer</dc:creator>
  <cp:lastModifiedBy>Maciej Kopczyński</cp:lastModifiedBy>
  <cp:lastPrinted>1995-11-17T15:45:13Z</cp:lastPrinted>
  <dcterms:created xsi:type="dcterms:W3CDTF">1995-11-01T16:01:30Z</dcterms:created>
  <dcterms:modified xsi:type="dcterms:W3CDTF">2024-10-19T10:40:02Z</dcterms:modified>
</cp:coreProperties>
</file>