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9f448ec057303af/Pulpit/"/>
    </mc:Choice>
  </mc:AlternateContent>
  <xr:revisionPtr revIDLastSave="1" documentId="8_{BD3251A0-F7A7-4126-820F-02DE5492B7E7}" xr6:coauthVersionLast="47" xr6:coauthVersionMax="47" xr10:uidLastSave="{08F0F70C-E297-4BC4-9D2D-84774705E57D}"/>
  <bookViews>
    <workbookView xWindow="21000" yWindow="240" windowWidth="30465" windowHeight="20505" activeTab="1" xr2:uid="{D0BCA06A-EE09-408E-BAD2-258F0998003E}"/>
  </bookViews>
  <sheets>
    <sheet name="RawData" sheetId="1" r:id="rId1"/>
    <sheet name="Output - scroll bar" sheetId="2" r:id="rId2"/>
  </sheets>
  <definedNames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lstRegions" comment="This list contains all unique regions of the'Region' column of the 'tblData' table. The SORT() function comes before the UNIQUE() function because of optimization reasons.">_xlfn.ANCHORARRAY(RawData!$H$3)</definedName>
    <definedName name="maxScroll">'Output - scroll bar'!$M$4</definedName>
    <definedName name="salesNum">'Output - scroll bar'!$D$4</definedName>
    <definedName name="selectedRegion">'Output - scroll bar'!$D$2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 a="1"/>
  <c r="B7" i="2" s="1"/>
  <c r="D4" i="2"/>
  <c r="M4" i="2" s="1"/>
  <c r="C7" i="2" a="1"/>
  <c r="C6" i="2" a="1"/>
  <c r="C6" i="2" s="1"/>
  <c r="H3" i="1" a="1"/>
  <c r="H3" i="1" l="1"/>
  <c r="C7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<sst xmlns="http://schemas.openxmlformats.org/spreadsheetml/2006/main" count="3017" uniqueCount="202">
  <si>
    <t>Date</t>
  </si>
  <si>
    <t>Region</t>
  </si>
  <si>
    <t>SalesRep</t>
  </si>
  <si>
    <t>Product</t>
  </si>
  <si>
    <t>Sales</t>
  </si>
  <si>
    <t>North</t>
  </si>
  <si>
    <t>Terry Daktyl</t>
  </si>
  <si>
    <t>Abaca slippers</t>
  </si>
  <si>
    <t>South</t>
  </si>
  <si>
    <t>Helen Bach</t>
  </si>
  <si>
    <t>Over-the-knee boot</t>
  </si>
  <si>
    <t>East</t>
  </si>
  <si>
    <t>Ben Dover</t>
  </si>
  <si>
    <t>Heelys</t>
  </si>
  <si>
    <t>West</t>
  </si>
  <si>
    <t>Rick Shaw</t>
  </si>
  <si>
    <t>Waraji</t>
  </si>
  <si>
    <t>Furlane</t>
  </si>
  <si>
    <t>Polly Urathane</t>
  </si>
  <si>
    <t>Plimsoll</t>
  </si>
  <si>
    <t>Al O'Pesha</t>
  </si>
  <si>
    <t xml:space="preserve">Peep-toe </t>
  </si>
  <si>
    <t>Hwa</t>
  </si>
  <si>
    <t>Al Gonquin</t>
  </si>
  <si>
    <t>Waders</t>
  </si>
  <si>
    <t>Hip</t>
  </si>
  <si>
    <t>Helena Handbasket</t>
  </si>
  <si>
    <t>Jika-tabi</t>
  </si>
  <si>
    <t>Sal Manella</t>
  </si>
  <si>
    <t>Turn</t>
  </si>
  <si>
    <t>PadukaPaduka</t>
  </si>
  <si>
    <t>Chopine</t>
  </si>
  <si>
    <t>Huarache</t>
  </si>
  <si>
    <t>Ann Tenna</t>
  </si>
  <si>
    <t>Hnyat-phanat</t>
  </si>
  <si>
    <t>Dane Jir</t>
  </si>
  <si>
    <t>Veldskoen</t>
  </si>
  <si>
    <t>Sabot</t>
  </si>
  <si>
    <t>Ballet boot</t>
  </si>
  <si>
    <t>Hessian</t>
  </si>
  <si>
    <t>Jack Potts</t>
  </si>
  <si>
    <t>Jipsin</t>
  </si>
  <si>
    <t>Haferlschuh</t>
  </si>
  <si>
    <t>Art Klass</t>
  </si>
  <si>
    <t xml:space="preserve">Roller </t>
  </si>
  <si>
    <t>Hiking</t>
  </si>
  <si>
    <t>Paige Turner</t>
  </si>
  <si>
    <t xml:space="preserve">Tiger-head </t>
  </si>
  <si>
    <t>Patten</t>
  </si>
  <si>
    <t>Klomp</t>
  </si>
  <si>
    <t>Mary Jane</t>
  </si>
  <si>
    <t>Racing flat</t>
  </si>
  <si>
    <t>Caulk</t>
  </si>
  <si>
    <t>Beatle</t>
  </si>
  <si>
    <t>Brandy Alexander</t>
  </si>
  <si>
    <t>Coiled sewn</t>
  </si>
  <si>
    <t>Sheepskin</t>
  </si>
  <si>
    <t xml:space="preserve">Boat </t>
  </si>
  <si>
    <t>Opinga</t>
  </si>
  <si>
    <t>Calceus</t>
  </si>
  <si>
    <t>Balgha</t>
  </si>
  <si>
    <t>Loafer, see Slip-on</t>
  </si>
  <si>
    <t>Multani Khussa</t>
  </si>
  <si>
    <t>Motorcycle boot</t>
  </si>
  <si>
    <t>Chukka</t>
  </si>
  <si>
    <t xml:space="preserve">Kung fu </t>
  </si>
  <si>
    <t>Crocs</t>
  </si>
  <si>
    <t>Spool heel</t>
  </si>
  <si>
    <t>Jodhpur</t>
  </si>
  <si>
    <t xml:space="preserve">Wrestling </t>
  </si>
  <si>
    <t>Dress</t>
  </si>
  <si>
    <t>Geta</t>
  </si>
  <si>
    <t>Okobo</t>
  </si>
  <si>
    <t xml:space="preserve">Flamenco </t>
  </si>
  <si>
    <t>Brogue</t>
  </si>
  <si>
    <t>Espadrille</t>
  </si>
  <si>
    <t>Sneakers</t>
  </si>
  <si>
    <t>Kitten heel</t>
  </si>
  <si>
    <t>Winklepicker</t>
  </si>
  <si>
    <t xml:space="preserve">Earth </t>
  </si>
  <si>
    <t>Sailing boots</t>
  </si>
  <si>
    <t>Jungle</t>
  </si>
  <si>
    <t>Episcopal sandals</t>
  </si>
  <si>
    <t>Boot</t>
  </si>
  <si>
    <t>Russian boot</t>
  </si>
  <si>
    <t>Wholecut</t>
  </si>
  <si>
    <t>Steel-toe boot</t>
  </si>
  <si>
    <t>Biblical sandals</t>
  </si>
  <si>
    <t xml:space="preserve">Pointe </t>
  </si>
  <si>
    <t>Wörishofer</t>
  </si>
  <si>
    <t xml:space="preserve">Self-tying </t>
  </si>
  <si>
    <t>Pointinini</t>
  </si>
  <si>
    <t xml:space="preserve">Monk </t>
  </si>
  <si>
    <t>Brogan</t>
  </si>
  <si>
    <t xml:space="preserve">Dress </t>
  </si>
  <si>
    <t>Ciocia</t>
  </si>
  <si>
    <t>Pampootie</t>
  </si>
  <si>
    <t>Slipper</t>
  </si>
  <si>
    <t>Cowboy</t>
  </si>
  <si>
    <t>Blucher</t>
  </si>
  <si>
    <t xml:space="preserve">Trail running </t>
  </si>
  <si>
    <t>Jutti</t>
  </si>
  <si>
    <t>Tzangion</t>
  </si>
  <si>
    <t xml:space="preserve">Hiking </t>
  </si>
  <si>
    <t>Mojari</t>
  </si>
  <si>
    <t xml:space="preserve">Organ </t>
  </si>
  <si>
    <t>Xiuhuaxie</t>
  </si>
  <si>
    <t>Mule</t>
  </si>
  <si>
    <t>Wedge</t>
  </si>
  <si>
    <t>Ghillies</t>
  </si>
  <si>
    <t>Chelsea</t>
  </si>
  <si>
    <t>Bovver</t>
  </si>
  <si>
    <t>Safari</t>
  </si>
  <si>
    <t>Saltwater</t>
  </si>
  <si>
    <t>Cantabrian albarcas</t>
  </si>
  <si>
    <t>Engineer</t>
  </si>
  <si>
    <t xml:space="preserve">Light-up </t>
  </si>
  <si>
    <t>Derby</t>
  </si>
  <si>
    <t>Jump</t>
  </si>
  <si>
    <t>Pulhoer</t>
  </si>
  <si>
    <t xml:space="preserve">Climbing </t>
  </si>
  <si>
    <t>Thigh-high</t>
  </si>
  <si>
    <t>Pigache</t>
  </si>
  <si>
    <t>Zori</t>
  </si>
  <si>
    <t>Jackboot</t>
  </si>
  <si>
    <t xml:space="preserve">Platform </t>
  </si>
  <si>
    <t>Cavalier</t>
  </si>
  <si>
    <t>Buskin</t>
  </si>
  <si>
    <t xml:space="preserve">Skate </t>
  </si>
  <si>
    <t>Avarca</t>
  </si>
  <si>
    <t xml:space="preserve">Water </t>
  </si>
  <si>
    <t>Träskor</t>
  </si>
  <si>
    <t xml:space="preserve">Bast Bast </t>
  </si>
  <si>
    <t>Mukluk</t>
  </si>
  <si>
    <t>Slingback</t>
  </si>
  <si>
    <t>High-top</t>
  </si>
  <si>
    <t xml:space="preserve">Jazz </t>
  </si>
  <si>
    <t xml:space="preserve">Walk-Over </t>
  </si>
  <si>
    <t xml:space="preserve">Oxford </t>
  </si>
  <si>
    <t>Soccus</t>
  </si>
  <si>
    <t>British clog</t>
  </si>
  <si>
    <t>Knee-high</t>
  </si>
  <si>
    <t>Uwabaki</t>
  </si>
  <si>
    <t>Valenki</t>
  </si>
  <si>
    <t>Bakya</t>
  </si>
  <si>
    <t>Ho Chi Minh</t>
  </si>
  <si>
    <t>OpanakOpanaks</t>
  </si>
  <si>
    <t xml:space="preserve">Rope-soled </t>
  </si>
  <si>
    <t>Combat</t>
  </si>
  <si>
    <t>Giveh</t>
  </si>
  <si>
    <t>Go-go</t>
  </si>
  <si>
    <t>Galoshes</t>
  </si>
  <si>
    <t>Driving moccasins</t>
  </si>
  <si>
    <t xml:space="preserve">Elevator </t>
  </si>
  <si>
    <t>Abarka</t>
  </si>
  <si>
    <t xml:space="preserve">Ballet </t>
  </si>
  <si>
    <t>Air Forces</t>
  </si>
  <si>
    <t>Flip-flops</t>
  </si>
  <si>
    <t>Cleats</t>
  </si>
  <si>
    <t>Clog</t>
  </si>
  <si>
    <t xml:space="preserve">Cycling </t>
  </si>
  <si>
    <t>Gutals</t>
  </si>
  <si>
    <t>Rigger</t>
  </si>
  <si>
    <t xml:space="preserve">Diabetic </t>
  </si>
  <si>
    <t>Fashion</t>
  </si>
  <si>
    <t xml:space="preserve">Saddle </t>
  </si>
  <si>
    <t>Mountaineering</t>
  </si>
  <si>
    <t>Desert</t>
  </si>
  <si>
    <t>Hanfu footwear</t>
  </si>
  <si>
    <t>Poulaine</t>
  </si>
  <si>
    <t>Gomusin</t>
  </si>
  <si>
    <t>Ugg</t>
  </si>
  <si>
    <t xml:space="preserve">Lotus </t>
  </si>
  <si>
    <t>Tsarouchi</t>
  </si>
  <si>
    <t>Chap</t>
  </si>
  <si>
    <t>Desert combat</t>
  </si>
  <si>
    <t>Wellington boot</t>
  </si>
  <si>
    <t>Ballet flat</t>
  </si>
  <si>
    <t xml:space="preserve">Spectator </t>
  </si>
  <si>
    <t>Namaksin</t>
  </si>
  <si>
    <t>Riding boots</t>
  </si>
  <si>
    <t xml:space="preserve">Tap </t>
  </si>
  <si>
    <t xml:space="preserve">Toe Toe </t>
  </si>
  <si>
    <t>T-bar sandal</t>
  </si>
  <si>
    <t>Australian work</t>
  </si>
  <si>
    <t>Brothel creeper</t>
  </si>
  <si>
    <t>Snow boot</t>
  </si>
  <si>
    <t>Upanah</t>
  </si>
  <si>
    <t xml:space="preserve">Racing </t>
  </si>
  <si>
    <t>Turkish clogs</t>
  </si>
  <si>
    <t xml:space="preserve">Cross country running </t>
  </si>
  <si>
    <t>Clear heels</t>
  </si>
  <si>
    <t>Slide</t>
  </si>
  <si>
    <t>Ski boot</t>
  </si>
  <si>
    <t>Region list</t>
  </si>
  <si>
    <t>Pick a region:</t>
  </si>
  <si>
    <t># of Sales</t>
  </si>
  <si>
    <t>There are two different sets of form controls: Legacy controls and ActiveX controls. We are going to use the legacy controls (scroll bar) because we do not need to utilize the vba properties of the ActiveX scroll bar.</t>
  </si>
  <si>
    <t>Scroll Link</t>
  </si>
  <si>
    <t>Scroll Max</t>
  </si>
  <si>
    <t>The list shows data in 25 row chunks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</si>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</sst>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3" borderId="2" xfId="0" applyFont="1" applyFill="1" applyBorder="1"/>
    <xf numFmtId="14" fontId="0" fillId="0" borderId="0" xfId="0" applyNumberFormat="1" applyAlignment="1">
      <alignment horizontal="left"/>
    </xf>
    <xf numFmtId="0" fontId="3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centerContinuous"/>
    </xf>
    <xf numFmtId="14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vertical="center"/>
    </xf>
    <xf numFmtId="164" fontId="0" fillId="0" borderId="3" xfId="0" applyNumberFormat="1" applyBorder="1" applyAlignment="1">
      <alignment vertical="center"/>
    </xf>
    <xf numFmtId="1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vertical="center"/>
    </xf>
    <xf numFmtId="164" fontId="0" fillId="0" borderId="5" xfId="0" applyNumberFormat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4" borderId="4" xfId="0" applyFont="1" applyFill="1" applyBorder="1" applyAlignment="1">
      <alignment horizontal="right" vertic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</cellXfs>
  <cellStyles count="1">
    <cellStyle name="Normalny" xfId="0" builtinId="0"/>
  </cellStyles>
  <dxfs count="7">
    <dxf>
      <alignment horizontal="left" vertical="center" textRotation="0" wrapText="0" indent="0" justifyLastLine="0" shrinkToFit="0" readingOrder="0"/>
    </dxf>
    <dxf>
      <numFmt numFmtId="164" formatCode="&quot;$&quot;#,##0.00"/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5" formatCode="m/d/yyyy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2" fmlaLink="$J$4" max="128" page="25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2051" name="outputScrollBarControl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4BA9FB-CBBB-44EF-B07C-08CFCD3C01E6}" name="tblData" displayName="tblData" ref="B2:F1003" totalsRowShown="0" headerRowDxfId="6" dataDxfId="5">
  <sortState xmlns:xlrd2="http://schemas.microsoft.com/office/spreadsheetml/2017/richdata2" ref="B3:F1003">
    <sortCondition ref="B1:B1002"/>
  </sortState>
  <tableColumns count="5">
    <tableColumn id="1" xr3:uid="{890939E1-0BB7-492E-B5CA-63FAE3EC9135}" name="Date" dataDxfId="4"/>
    <tableColumn id="2" xr3:uid="{3B6E385E-6CCF-4574-B296-598377E3E08E}" name="Region" dataDxfId="3"/>
    <tableColumn id="3" xr3:uid="{D1803AD9-D334-4D87-B05C-CB928CA3E7F6}" name="SalesRep" dataDxfId="2"/>
    <tableColumn id="4" xr3:uid="{9631B10C-7528-4FDE-AFAE-712E3FE09D2F}" name="Product" dataDxfId="0"/>
    <tableColumn id="5" xr3:uid="{E3FFE9A7-56A7-4349-B2F4-4447682D44DB}" name="Sale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76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0773512-2A0A-4B17-BE32-5DE9F55EA1A6}">
  <we:reference id="wa200003696" version="1.3.0.0" store="pl-PL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A724F617-E122-4578-A517-52D09BBEA763}&quot;}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7E802-F357-45FC-AAF4-1AEAD561EE68}">
  <sheetPr codeName="Arkusz1"/>
  <dimension ref="B2:XFD1012"/>
  <sheetViews>
    <sheetView showGridLines="0" topLeftCell="A157" zoomScaleNormal="100" workbookViewId="0">
      <selection activeCell="C190" sqref="C190"/>
    </sheetView>
  </sheetViews>
  <sheetFormatPr defaultColWidth="9.7109375" defaultRowHeight="15" x14ac:dyDescent="0.25"/>
  <cols>
    <col min="2" max="2" width="10.140625" bestFit="1" customWidth="1"/>
    <col min="6" max="6" width="12.42578125" bestFit="1" customWidth="1"/>
  </cols>
  <sheetData>
    <row r="2" spans="2:8" x14ac:dyDescent="0.25">
      <c r="B2" s="5" t="s">
        <v>0</v>
      </c>
      <c r="C2" s="6" t="s">
        <v>1</v>
      </c>
      <c r="D2" s="6" t="s">
        <v>2</v>
      </c>
      <c r="E2" s="6" t="s">
        <v>3</v>
      </c>
      <c r="F2" s="3" t="s">
        <v>4</v>
      </c>
      <c r="H2" s="7" t="s">
        <v>194</v>
      </c>
    </row>
    <row r="3" spans="2:8" x14ac:dyDescent="0.25">
      <c r="B3" s="5">
        <v>40179</v>
      </c>
      <c r="C3" s="6" t="s">
        <v>5</v>
      </c>
      <c r="D3" s="6" t="s">
        <v>6</v>
      </c>
      <c r="E3" s="6" t="s">
        <v>7</v>
      </c>
      <c r="F3" s="4">
        <v>1000000</v>
      </c>
      <c r="H3" t="str" cm="1">
        <f t="array" ref="H3:H6">_xlfn.UNIQUE(_xlfn._xlws.SORT(tblData[Region]))</f>
        <v>East</v>
      </c>
    </row>
    <row r="4" spans="2:8" x14ac:dyDescent="0.25">
      <c r="B4" s="5">
        <v>40180</v>
      </c>
      <c r="C4" s="6" t="s">
        <v>8</v>
      </c>
      <c r="D4" s="6" t="s">
        <v>9</v>
      </c>
      <c r="E4" s="6" t="s">
        <v>10</v>
      </c>
      <c r="F4" s="4">
        <v>1000000</v>
      </c>
      <c r="H4" t="str">
        <v>North</v>
      </c>
    </row>
    <row r="5" spans="2:8" x14ac:dyDescent="0.25">
      <c r="B5" s="5">
        <v>40180</v>
      </c>
      <c r="C5" s="6" t="s">
        <v>11</v>
      </c>
      <c r="D5" s="6" t="s">
        <v>12</v>
      </c>
      <c r="E5" s="6" t="s">
        <v>13</v>
      </c>
      <c r="F5" s="4">
        <v>1000000</v>
      </c>
      <c r="H5" t="str">
        <v>South</v>
      </c>
    </row>
    <row r="6" spans="2:8" x14ac:dyDescent="0.25">
      <c r="B6" s="5">
        <v>40180</v>
      </c>
      <c r="C6" s="6" t="s">
        <v>14</v>
      </c>
      <c r="D6" s="6" t="s">
        <v>15</v>
      </c>
      <c r="E6" s="6" t="s">
        <v>16</v>
      </c>
      <c r="F6" s="4">
        <v>1000000</v>
      </c>
      <c r="H6" t="str">
        <v>West</v>
      </c>
    </row>
    <row r="7" spans="2:8" x14ac:dyDescent="0.25">
      <c r="B7" s="5">
        <v>40183</v>
      </c>
      <c r="C7" s="6" t="s">
        <v>11</v>
      </c>
      <c r="D7" s="6" t="s">
        <v>9</v>
      </c>
      <c r="E7" s="6" t="s">
        <v>17</v>
      </c>
      <c r="F7" s="4">
        <v>22919.778436777557</v>
      </c>
    </row>
    <row r="8" spans="2:8" x14ac:dyDescent="0.25">
      <c r="B8" s="5">
        <v>40187</v>
      </c>
      <c r="C8" s="6" t="s">
        <v>5</v>
      </c>
      <c r="D8" s="6" t="s">
        <v>18</v>
      </c>
      <c r="E8" s="6" t="s">
        <v>19</v>
      </c>
      <c r="F8" s="4">
        <v>58076.138178777946</v>
      </c>
    </row>
    <row r="9" spans="2:8" x14ac:dyDescent="0.25">
      <c r="B9" s="5">
        <v>40191</v>
      </c>
      <c r="C9" s="6" t="s">
        <v>14</v>
      </c>
      <c r="D9" s="6" t="s">
        <v>20</v>
      </c>
      <c r="E9" s="6" t="s">
        <v>21</v>
      </c>
      <c r="F9" s="4">
        <v>66842.007136382381</v>
      </c>
    </row>
    <row r="10" spans="2:8" x14ac:dyDescent="0.25">
      <c r="B10" s="5">
        <v>40191</v>
      </c>
      <c r="C10" s="6" t="s">
        <v>14</v>
      </c>
      <c r="D10" s="6" t="s">
        <v>20</v>
      </c>
      <c r="E10" s="6" t="s">
        <v>21</v>
      </c>
      <c r="F10" s="4">
        <v>66842.007136382381</v>
      </c>
    </row>
    <row r="11" spans="2:8" x14ac:dyDescent="0.25">
      <c r="B11" s="5">
        <v>40197</v>
      </c>
      <c r="C11" s="6" t="s">
        <v>8</v>
      </c>
      <c r="D11" s="6" t="s">
        <v>15</v>
      </c>
      <c r="E11" s="6" t="s">
        <v>22</v>
      </c>
      <c r="F11" s="4">
        <v>66894.184498330389</v>
      </c>
    </row>
    <row r="12" spans="2:8" x14ac:dyDescent="0.25">
      <c r="B12" s="5">
        <v>40197</v>
      </c>
      <c r="C12" s="6" t="s">
        <v>8</v>
      </c>
      <c r="D12" s="6" t="s">
        <v>23</v>
      </c>
      <c r="E12" s="6" t="s">
        <v>24</v>
      </c>
      <c r="F12" s="4">
        <v>26628.730083509665</v>
      </c>
    </row>
    <row r="13" spans="2:8" x14ac:dyDescent="0.25">
      <c r="B13" s="5">
        <v>40203</v>
      </c>
      <c r="C13" s="6" t="s">
        <v>11</v>
      </c>
      <c r="D13" s="6" t="s">
        <v>15</v>
      </c>
      <c r="E13" s="6" t="s">
        <v>25</v>
      </c>
      <c r="F13" s="4">
        <v>48637.441319180536</v>
      </c>
    </row>
    <row r="14" spans="2:8" x14ac:dyDescent="0.25">
      <c r="B14" s="5">
        <v>40206</v>
      </c>
      <c r="C14" s="6" t="s">
        <v>11</v>
      </c>
      <c r="D14" s="6" t="s">
        <v>26</v>
      </c>
      <c r="E14" s="6" t="s">
        <v>27</v>
      </c>
      <c r="F14" s="4">
        <v>10439.583471591766</v>
      </c>
    </row>
    <row r="15" spans="2:8" x14ac:dyDescent="0.25">
      <c r="B15" s="5">
        <v>40207</v>
      </c>
      <c r="C15" s="6" t="s">
        <v>5</v>
      </c>
      <c r="D15" s="6" t="s">
        <v>28</v>
      </c>
      <c r="E15" s="6" t="s">
        <v>29</v>
      </c>
      <c r="F15" s="4">
        <v>94548.009224206558</v>
      </c>
    </row>
    <row r="16" spans="2:8" x14ac:dyDescent="0.25">
      <c r="B16" s="5">
        <v>40212</v>
      </c>
      <c r="C16" s="6" t="s">
        <v>14</v>
      </c>
      <c r="D16" s="6" t="s">
        <v>18</v>
      </c>
      <c r="E16" s="6" t="s">
        <v>30</v>
      </c>
      <c r="F16" s="4">
        <v>59021.597589406512</v>
      </c>
    </row>
    <row r="17" spans="2:6" x14ac:dyDescent="0.25">
      <c r="B17" s="5">
        <v>40213</v>
      </c>
      <c r="C17" s="6" t="s">
        <v>5</v>
      </c>
      <c r="D17" s="6" t="s">
        <v>9</v>
      </c>
      <c r="E17" s="6" t="s">
        <v>31</v>
      </c>
      <c r="F17" s="4">
        <v>18228.689648214753</v>
      </c>
    </row>
    <row r="18" spans="2:6" x14ac:dyDescent="0.25">
      <c r="B18" s="5">
        <v>40213</v>
      </c>
      <c r="C18" s="6" t="s">
        <v>5</v>
      </c>
      <c r="D18" s="6" t="s">
        <v>12</v>
      </c>
      <c r="E18" s="6" t="s">
        <v>32</v>
      </c>
      <c r="F18" s="4">
        <v>90761.079384898738</v>
      </c>
    </row>
    <row r="19" spans="2:6" x14ac:dyDescent="0.25">
      <c r="B19" s="5">
        <v>40218</v>
      </c>
      <c r="C19" s="6" t="s">
        <v>8</v>
      </c>
      <c r="D19" s="6" t="s">
        <v>33</v>
      </c>
      <c r="E19" s="6" t="s">
        <v>34</v>
      </c>
      <c r="F19" s="4">
        <v>61740.778266386165</v>
      </c>
    </row>
    <row r="20" spans="2:6" x14ac:dyDescent="0.25">
      <c r="B20" s="5">
        <v>40223</v>
      </c>
      <c r="C20" s="6" t="s">
        <v>14</v>
      </c>
      <c r="D20" s="6" t="s">
        <v>35</v>
      </c>
      <c r="E20" s="6" t="s">
        <v>36</v>
      </c>
      <c r="F20" s="4">
        <v>42556.881970665527</v>
      </c>
    </row>
    <row r="21" spans="2:6" x14ac:dyDescent="0.25">
      <c r="B21" s="5">
        <v>40224</v>
      </c>
      <c r="C21" s="6" t="s">
        <v>5</v>
      </c>
      <c r="D21" s="6" t="s">
        <v>9</v>
      </c>
      <c r="E21" s="6" t="s">
        <v>37</v>
      </c>
      <c r="F21" s="4">
        <v>81056.694123037072</v>
      </c>
    </row>
    <row r="22" spans="2:6" x14ac:dyDescent="0.25">
      <c r="B22" s="5">
        <v>40226</v>
      </c>
      <c r="C22" s="6" t="s">
        <v>5</v>
      </c>
      <c r="D22" s="6" t="s">
        <v>18</v>
      </c>
      <c r="E22" s="6" t="s">
        <v>38</v>
      </c>
      <c r="F22" s="4">
        <v>68870.419033131562</v>
      </c>
    </row>
    <row r="23" spans="2:6" x14ac:dyDescent="0.25">
      <c r="B23" s="5">
        <v>40230</v>
      </c>
      <c r="C23" s="6" t="s">
        <v>5</v>
      </c>
      <c r="D23" s="6" t="s">
        <v>28</v>
      </c>
      <c r="E23" s="6" t="s">
        <v>39</v>
      </c>
      <c r="F23" s="4">
        <v>42190.719132152655</v>
      </c>
    </row>
    <row r="24" spans="2:6" x14ac:dyDescent="0.25">
      <c r="B24" s="5">
        <v>40231</v>
      </c>
      <c r="C24" s="6" t="s">
        <v>8</v>
      </c>
      <c r="D24" s="6" t="s">
        <v>23</v>
      </c>
      <c r="E24" s="6" t="s">
        <v>32</v>
      </c>
      <c r="F24" s="4">
        <v>46177.506533530504</v>
      </c>
    </row>
    <row r="25" spans="2:6" x14ac:dyDescent="0.25">
      <c r="B25" s="5">
        <v>40232</v>
      </c>
      <c r="C25" s="6" t="s">
        <v>14</v>
      </c>
      <c r="D25" s="6" t="s">
        <v>40</v>
      </c>
      <c r="E25" s="6" t="s">
        <v>41</v>
      </c>
      <c r="F25" s="4">
        <v>28455.585578543381</v>
      </c>
    </row>
    <row r="26" spans="2:6" x14ac:dyDescent="0.25">
      <c r="B26" s="5">
        <v>40235</v>
      </c>
      <c r="C26" s="6" t="s">
        <v>5</v>
      </c>
      <c r="D26" s="6" t="s">
        <v>9</v>
      </c>
      <c r="E26" s="6" t="s">
        <v>42</v>
      </c>
      <c r="F26" s="4">
        <v>78580.151789632873</v>
      </c>
    </row>
    <row r="27" spans="2:6" x14ac:dyDescent="0.25">
      <c r="B27" s="5">
        <v>40241</v>
      </c>
      <c r="C27" s="6" t="s">
        <v>5</v>
      </c>
      <c r="D27" s="6" t="s">
        <v>43</v>
      </c>
      <c r="E27" s="6" t="s">
        <v>44</v>
      </c>
      <c r="F27" s="4">
        <v>25833.932108470879</v>
      </c>
    </row>
    <row r="28" spans="2:6" x14ac:dyDescent="0.25">
      <c r="B28" s="5">
        <v>40242</v>
      </c>
      <c r="C28" s="6" t="s">
        <v>5</v>
      </c>
      <c r="D28" s="6" t="s">
        <v>15</v>
      </c>
      <c r="E28" s="6" t="s">
        <v>45</v>
      </c>
      <c r="F28" s="4">
        <v>71437.042823280717</v>
      </c>
    </row>
    <row r="29" spans="2:6" x14ac:dyDescent="0.25">
      <c r="B29" s="5">
        <v>40244</v>
      </c>
      <c r="C29" s="6" t="s">
        <v>5</v>
      </c>
      <c r="D29" s="6" t="s">
        <v>46</v>
      </c>
      <c r="E29" s="6" t="s">
        <v>47</v>
      </c>
      <c r="F29" s="4">
        <v>28412.961672508369</v>
      </c>
    </row>
    <row r="30" spans="2:6" x14ac:dyDescent="0.25">
      <c r="B30" s="5">
        <v>40245</v>
      </c>
      <c r="C30" s="6" t="s">
        <v>5</v>
      </c>
      <c r="D30" s="6" t="s">
        <v>15</v>
      </c>
      <c r="E30" s="6" t="s">
        <v>48</v>
      </c>
      <c r="F30" s="4">
        <v>38675.491030319376</v>
      </c>
    </row>
    <row r="31" spans="2:6" x14ac:dyDescent="0.25">
      <c r="B31" s="5">
        <v>40247</v>
      </c>
      <c r="C31" s="6" t="s">
        <v>14</v>
      </c>
      <c r="D31" s="6" t="s">
        <v>18</v>
      </c>
      <c r="E31" s="6" t="s">
        <v>49</v>
      </c>
      <c r="F31" s="4">
        <v>28421.788327914088</v>
      </c>
    </row>
    <row r="32" spans="2:6" x14ac:dyDescent="0.25">
      <c r="B32" s="5">
        <v>40249</v>
      </c>
      <c r="C32" s="6" t="s">
        <v>5</v>
      </c>
      <c r="D32" s="6" t="s">
        <v>12</v>
      </c>
      <c r="E32" s="6" t="s">
        <v>50</v>
      </c>
      <c r="F32" s="4">
        <v>30087.726345900872</v>
      </c>
    </row>
    <row r="33" spans="2:6" x14ac:dyDescent="0.25">
      <c r="B33" s="5">
        <v>40249</v>
      </c>
      <c r="C33" s="6" t="s">
        <v>14</v>
      </c>
      <c r="D33" s="6" t="s">
        <v>15</v>
      </c>
      <c r="E33" s="6" t="s">
        <v>51</v>
      </c>
      <c r="F33" s="4">
        <v>61632.518988768286</v>
      </c>
    </row>
    <row r="34" spans="2:6" x14ac:dyDescent="0.25">
      <c r="B34" s="5">
        <v>40253</v>
      </c>
      <c r="C34" s="6" t="s">
        <v>14</v>
      </c>
      <c r="D34" s="6" t="s">
        <v>33</v>
      </c>
      <c r="E34" s="6" t="s">
        <v>17</v>
      </c>
      <c r="F34" s="4">
        <v>83997.518716568578</v>
      </c>
    </row>
    <row r="35" spans="2:6" x14ac:dyDescent="0.25">
      <c r="B35" s="5">
        <v>40255</v>
      </c>
      <c r="C35" s="6" t="s">
        <v>5</v>
      </c>
      <c r="D35" s="6" t="s">
        <v>28</v>
      </c>
      <c r="E35" s="6" t="s">
        <v>52</v>
      </c>
      <c r="F35" s="4">
        <v>96668.909713758359</v>
      </c>
    </row>
    <row r="36" spans="2:6" x14ac:dyDescent="0.25">
      <c r="B36" s="5">
        <v>40255</v>
      </c>
      <c r="C36" s="6" t="s">
        <v>5</v>
      </c>
      <c r="D36" s="6" t="s">
        <v>18</v>
      </c>
      <c r="E36" s="6" t="s">
        <v>37</v>
      </c>
      <c r="F36" s="4">
        <v>38536.69588096044</v>
      </c>
    </row>
    <row r="37" spans="2:6" x14ac:dyDescent="0.25">
      <c r="B37" s="5">
        <v>40257</v>
      </c>
      <c r="C37" s="6" t="s">
        <v>8</v>
      </c>
      <c r="D37" s="6" t="s">
        <v>15</v>
      </c>
      <c r="E37" s="6" t="s">
        <v>53</v>
      </c>
      <c r="F37" s="4">
        <v>66495.2260833974</v>
      </c>
    </row>
    <row r="38" spans="2:6" x14ac:dyDescent="0.25">
      <c r="B38" s="5">
        <v>40262</v>
      </c>
      <c r="C38" s="6" t="s">
        <v>8</v>
      </c>
      <c r="D38" s="6" t="s">
        <v>54</v>
      </c>
      <c r="E38" s="6" t="s">
        <v>55</v>
      </c>
      <c r="F38" s="4">
        <v>69105.074407159336</v>
      </c>
    </row>
    <row r="39" spans="2:6" x14ac:dyDescent="0.25">
      <c r="B39" s="5">
        <v>40263</v>
      </c>
      <c r="C39" s="6" t="s">
        <v>8</v>
      </c>
      <c r="D39" s="6" t="s">
        <v>18</v>
      </c>
      <c r="E39" s="6" t="s">
        <v>56</v>
      </c>
      <c r="F39" s="4">
        <v>74057.160075828535</v>
      </c>
    </row>
    <row r="40" spans="2:6" x14ac:dyDescent="0.25">
      <c r="B40" s="5">
        <v>40270</v>
      </c>
      <c r="C40" s="6" t="s">
        <v>8</v>
      </c>
      <c r="D40" s="6" t="s">
        <v>18</v>
      </c>
      <c r="E40" s="6" t="s">
        <v>57</v>
      </c>
      <c r="F40" s="4">
        <v>36976.378651997897</v>
      </c>
    </row>
    <row r="41" spans="2:6" x14ac:dyDescent="0.25">
      <c r="B41" s="5">
        <v>40270</v>
      </c>
      <c r="C41" s="6" t="s">
        <v>8</v>
      </c>
      <c r="D41" s="6" t="s">
        <v>9</v>
      </c>
      <c r="E41" s="6" t="s">
        <v>38</v>
      </c>
      <c r="F41" s="4">
        <v>86519.472356849408</v>
      </c>
    </row>
    <row r="42" spans="2:6" x14ac:dyDescent="0.25">
      <c r="B42" s="5">
        <v>40272</v>
      </c>
      <c r="C42" s="6" t="s">
        <v>8</v>
      </c>
      <c r="D42" s="6" t="s">
        <v>26</v>
      </c>
      <c r="E42" s="6" t="s">
        <v>58</v>
      </c>
      <c r="F42" s="4">
        <v>43369.548208002554</v>
      </c>
    </row>
    <row r="43" spans="2:6" x14ac:dyDescent="0.25">
      <c r="B43" s="5">
        <v>40276</v>
      </c>
      <c r="C43" s="6" t="s">
        <v>8</v>
      </c>
      <c r="D43" s="6" t="s">
        <v>43</v>
      </c>
      <c r="E43" s="6" t="s">
        <v>59</v>
      </c>
      <c r="F43" s="4">
        <v>41269.049198182467</v>
      </c>
    </row>
    <row r="44" spans="2:6" x14ac:dyDescent="0.25">
      <c r="B44" s="5">
        <v>40279</v>
      </c>
      <c r="C44" s="6" t="s">
        <v>5</v>
      </c>
      <c r="D44" s="6" t="s">
        <v>46</v>
      </c>
      <c r="E44" s="6" t="s">
        <v>59</v>
      </c>
      <c r="F44" s="4">
        <v>31518.416917171595</v>
      </c>
    </row>
    <row r="45" spans="2:6" x14ac:dyDescent="0.25">
      <c r="B45" s="5">
        <v>40280</v>
      </c>
      <c r="C45" s="6" t="s">
        <v>14</v>
      </c>
      <c r="D45" s="6" t="s">
        <v>26</v>
      </c>
      <c r="E45" s="6" t="s">
        <v>60</v>
      </c>
      <c r="F45" s="4">
        <v>86432.761009035486</v>
      </c>
    </row>
    <row r="46" spans="2:6" x14ac:dyDescent="0.25">
      <c r="B46" s="5">
        <v>40282</v>
      </c>
      <c r="C46" s="6" t="s">
        <v>5</v>
      </c>
      <c r="D46" s="6" t="s">
        <v>43</v>
      </c>
      <c r="E46" s="6" t="s">
        <v>61</v>
      </c>
      <c r="F46" s="4">
        <v>16059.553698188198</v>
      </c>
    </row>
    <row r="47" spans="2:6" x14ac:dyDescent="0.25">
      <c r="B47" s="5">
        <v>40283</v>
      </c>
      <c r="C47" s="6" t="s">
        <v>11</v>
      </c>
      <c r="D47" s="6" t="s">
        <v>40</v>
      </c>
      <c r="E47" s="6" t="s">
        <v>32</v>
      </c>
      <c r="F47" s="4">
        <v>14691.496870085071</v>
      </c>
    </row>
    <row r="48" spans="2:6" x14ac:dyDescent="0.25">
      <c r="B48" s="5">
        <v>40287</v>
      </c>
      <c r="C48" s="6" t="s">
        <v>5</v>
      </c>
      <c r="D48" s="6" t="s">
        <v>15</v>
      </c>
      <c r="E48" s="6" t="s">
        <v>62</v>
      </c>
      <c r="F48" s="4">
        <v>24128.319246456529</v>
      </c>
    </row>
    <row r="49" spans="2:6" x14ac:dyDescent="0.25">
      <c r="B49" s="5">
        <v>40288</v>
      </c>
      <c r="C49" s="6" t="s">
        <v>8</v>
      </c>
      <c r="D49" s="6" t="s">
        <v>28</v>
      </c>
      <c r="E49" s="6" t="s">
        <v>30</v>
      </c>
      <c r="F49" s="4">
        <v>92706.179300409334</v>
      </c>
    </row>
    <row r="50" spans="2:6" x14ac:dyDescent="0.25">
      <c r="B50" s="5">
        <v>40288</v>
      </c>
      <c r="C50" s="6" t="s">
        <v>5</v>
      </c>
      <c r="D50" s="6" t="s">
        <v>26</v>
      </c>
      <c r="E50" s="6" t="s">
        <v>51</v>
      </c>
      <c r="F50" s="4">
        <v>36422.346062409699</v>
      </c>
    </row>
    <row r="51" spans="2:6" x14ac:dyDescent="0.25">
      <c r="B51" s="5">
        <v>40288</v>
      </c>
      <c r="C51" s="6" t="s">
        <v>11</v>
      </c>
      <c r="D51" s="6" t="s">
        <v>54</v>
      </c>
      <c r="E51" s="6" t="s">
        <v>63</v>
      </c>
      <c r="F51" s="4">
        <v>53641.129026098177</v>
      </c>
    </row>
    <row r="52" spans="2:6" x14ac:dyDescent="0.25">
      <c r="B52" s="5">
        <v>40290</v>
      </c>
      <c r="C52" s="6" t="s">
        <v>14</v>
      </c>
      <c r="D52" s="6" t="s">
        <v>20</v>
      </c>
      <c r="E52" s="6" t="s">
        <v>64</v>
      </c>
      <c r="F52" s="4">
        <v>57749.252300412722</v>
      </c>
    </row>
    <row r="53" spans="2:6" x14ac:dyDescent="0.25">
      <c r="B53" s="5">
        <v>40290</v>
      </c>
      <c r="C53" s="6" t="s">
        <v>14</v>
      </c>
      <c r="D53" s="6" t="s">
        <v>12</v>
      </c>
      <c r="E53" s="6" t="s">
        <v>65</v>
      </c>
      <c r="F53" s="4">
        <v>82056.589461281867</v>
      </c>
    </row>
    <row r="54" spans="2:6" x14ac:dyDescent="0.25">
      <c r="B54" s="5">
        <v>40292</v>
      </c>
      <c r="C54" s="6" t="s">
        <v>14</v>
      </c>
      <c r="D54" s="6" t="s">
        <v>35</v>
      </c>
      <c r="E54" s="6" t="s">
        <v>49</v>
      </c>
      <c r="F54" s="4">
        <v>88903.82238392935</v>
      </c>
    </row>
    <row r="55" spans="2:6" x14ac:dyDescent="0.25">
      <c r="B55" s="5">
        <v>40293</v>
      </c>
      <c r="C55" s="6" t="s">
        <v>11</v>
      </c>
      <c r="D55" s="6" t="s">
        <v>26</v>
      </c>
      <c r="E55" s="6" t="s">
        <v>45</v>
      </c>
      <c r="F55" s="4">
        <v>67972.974402463864</v>
      </c>
    </row>
    <row r="56" spans="2:6" x14ac:dyDescent="0.25">
      <c r="B56" s="5">
        <v>40294</v>
      </c>
      <c r="C56" s="6" t="s">
        <v>5</v>
      </c>
      <c r="D56" s="6" t="s">
        <v>12</v>
      </c>
      <c r="E56" s="6" t="s">
        <v>66</v>
      </c>
      <c r="F56" s="4">
        <v>55494.826236003828</v>
      </c>
    </row>
    <row r="57" spans="2:6" x14ac:dyDescent="0.25">
      <c r="B57" s="5">
        <v>40295</v>
      </c>
      <c r="C57" s="6" t="s">
        <v>11</v>
      </c>
      <c r="D57" s="6" t="s">
        <v>40</v>
      </c>
      <c r="E57" s="6" t="s">
        <v>67</v>
      </c>
      <c r="F57" s="4">
        <v>52257.913791781786</v>
      </c>
    </row>
    <row r="58" spans="2:6" x14ac:dyDescent="0.25">
      <c r="B58" s="5">
        <v>40296</v>
      </c>
      <c r="C58" s="6" t="s">
        <v>11</v>
      </c>
      <c r="D58" s="6" t="s">
        <v>33</v>
      </c>
      <c r="E58" s="6" t="s">
        <v>68</v>
      </c>
      <c r="F58" s="4">
        <v>38391.278231784483</v>
      </c>
    </row>
    <row r="59" spans="2:6" x14ac:dyDescent="0.25">
      <c r="B59" s="5">
        <v>40297</v>
      </c>
      <c r="C59" s="6" t="s">
        <v>14</v>
      </c>
      <c r="D59" s="6" t="s">
        <v>43</v>
      </c>
      <c r="E59" s="6" t="s">
        <v>44</v>
      </c>
      <c r="F59" s="4">
        <v>47279.88533434111</v>
      </c>
    </row>
    <row r="60" spans="2:6" x14ac:dyDescent="0.25">
      <c r="B60" s="5">
        <v>40299</v>
      </c>
      <c r="C60" s="6" t="s">
        <v>5</v>
      </c>
      <c r="D60" s="6" t="s">
        <v>43</v>
      </c>
      <c r="E60" s="6" t="s">
        <v>69</v>
      </c>
      <c r="F60" s="4">
        <v>75141.415673473093</v>
      </c>
    </row>
    <row r="61" spans="2:6" x14ac:dyDescent="0.25">
      <c r="B61" s="5">
        <v>40302</v>
      </c>
      <c r="C61" s="6" t="s">
        <v>11</v>
      </c>
      <c r="D61" s="6" t="s">
        <v>33</v>
      </c>
      <c r="E61" s="6" t="s">
        <v>70</v>
      </c>
      <c r="F61" s="4">
        <v>27634.82752385916</v>
      </c>
    </row>
    <row r="62" spans="2:6" x14ac:dyDescent="0.25">
      <c r="B62" s="5">
        <v>40304</v>
      </c>
      <c r="C62" s="6" t="s">
        <v>5</v>
      </c>
      <c r="D62" s="6" t="s">
        <v>26</v>
      </c>
      <c r="E62" s="6" t="s">
        <v>71</v>
      </c>
      <c r="F62" s="4">
        <v>58400.317560938573</v>
      </c>
    </row>
    <row r="63" spans="2:6" x14ac:dyDescent="0.25">
      <c r="B63" s="5">
        <v>40304</v>
      </c>
      <c r="C63" s="6" t="s">
        <v>14</v>
      </c>
      <c r="D63" s="6" t="s">
        <v>35</v>
      </c>
      <c r="E63" s="6" t="s">
        <v>72</v>
      </c>
      <c r="F63" s="4">
        <v>77500.479483582196</v>
      </c>
    </row>
    <row r="64" spans="2:6" x14ac:dyDescent="0.25">
      <c r="B64" s="5">
        <v>40306</v>
      </c>
      <c r="C64" s="6" t="s">
        <v>5</v>
      </c>
      <c r="D64" s="6" t="s">
        <v>33</v>
      </c>
      <c r="E64" s="6" t="s">
        <v>50</v>
      </c>
      <c r="F64" s="4">
        <v>75901.949847779208</v>
      </c>
    </row>
    <row r="65" spans="2:6" x14ac:dyDescent="0.25">
      <c r="B65" s="5">
        <v>40306</v>
      </c>
      <c r="C65" s="6" t="s">
        <v>5</v>
      </c>
      <c r="D65" s="6" t="s">
        <v>54</v>
      </c>
      <c r="E65" s="6" t="s">
        <v>73</v>
      </c>
      <c r="F65" s="4">
        <v>40350.880684459691</v>
      </c>
    </row>
    <row r="66" spans="2:6" x14ac:dyDescent="0.25">
      <c r="B66" s="5">
        <v>40306</v>
      </c>
      <c r="C66" s="6" t="s">
        <v>8</v>
      </c>
      <c r="D66" s="6" t="s">
        <v>54</v>
      </c>
      <c r="E66" s="6" t="s">
        <v>74</v>
      </c>
      <c r="F66" s="4">
        <v>83964.149479595231</v>
      </c>
    </row>
    <row r="67" spans="2:6" x14ac:dyDescent="0.25">
      <c r="B67" s="5">
        <v>40311</v>
      </c>
      <c r="C67" s="6" t="s">
        <v>8</v>
      </c>
      <c r="D67" s="6" t="s">
        <v>33</v>
      </c>
      <c r="E67" s="6" t="s">
        <v>55</v>
      </c>
      <c r="F67" s="4">
        <v>84714.275895511644</v>
      </c>
    </row>
    <row r="68" spans="2:6" x14ac:dyDescent="0.25">
      <c r="B68" s="5">
        <v>40323</v>
      </c>
      <c r="C68" s="6" t="s">
        <v>5</v>
      </c>
      <c r="D68" s="6" t="s">
        <v>46</v>
      </c>
      <c r="E68" s="6" t="s">
        <v>75</v>
      </c>
      <c r="F68" s="4">
        <v>90372.17932733777</v>
      </c>
    </row>
    <row r="69" spans="2:6" x14ac:dyDescent="0.25">
      <c r="B69" s="5">
        <v>40325</v>
      </c>
      <c r="C69" s="6" t="s">
        <v>5</v>
      </c>
      <c r="D69" s="6" t="s">
        <v>12</v>
      </c>
      <c r="E69" s="6" t="s">
        <v>31</v>
      </c>
      <c r="F69" s="4">
        <v>56841.618950220887</v>
      </c>
    </row>
    <row r="70" spans="2:6" x14ac:dyDescent="0.25">
      <c r="B70" s="5">
        <v>40327</v>
      </c>
      <c r="C70" s="6" t="s">
        <v>14</v>
      </c>
      <c r="D70" s="6" t="s">
        <v>33</v>
      </c>
      <c r="E70" s="6" t="s">
        <v>76</v>
      </c>
      <c r="F70" s="4">
        <v>73340.182259582783</v>
      </c>
    </row>
    <row r="71" spans="2:6" x14ac:dyDescent="0.25">
      <c r="B71" s="5">
        <v>40327</v>
      </c>
      <c r="C71" s="6" t="s">
        <v>14</v>
      </c>
      <c r="D71" s="6" t="s">
        <v>26</v>
      </c>
      <c r="E71" s="6" t="s">
        <v>19</v>
      </c>
      <c r="F71" s="4">
        <v>11750.013127283597</v>
      </c>
    </row>
    <row r="72" spans="2:6" x14ac:dyDescent="0.25">
      <c r="B72" s="5">
        <v>40327</v>
      </c>
      <c r="C72" s="6" t="s">
        <v>5</v>
      </c>
      <c r="D72" s="6" t="s">
        <v>35</v>
      </c>
      <c r="E72" s="6" t="s">
        <v>77</v>
      </c>
      <c r="F72" s="4">
        <v>81531.812036145813</v>
      </c>
    </row>
    <row r="73" spans="2:6" x14ac:dyDescent="0.25">
      <c r="B73" s="5">
        <v>40331</v>
      </c>
      <c r="C73" s="6" t="s">
        <v>8</v>
      </c>
      <c r="D73" s="6" t="s">
        <v>33</v>
      </c>
      <c r="E73" s="6" t="s">
        <v>78</v>
      </c>
      <c r="F73" s="4">
        <v>22141.522331640605</v>
      </c>
    </row>
    <row r="74" spans="2:6" x14ac:dyDescent="0.25">
      <c r="B74" s="5">
        <v>40333</v>
      </c>
      <c r="C74" s="6" t="s">
        <v>5</v>
      </c>
      <c r="D74" s="6" t="s">
        <v>33</v>
      </c>
      <c r="E74" s="6" t="s">
        <v>79</v>
      </c>
      <c r="F74" s="4">
        <v>30641.204858805599</v>
      </c>
    </row>
    <row r="75" spans="2:6" x14ac:dyDescent="0.25">
      <c r="B75" s="5">
        <v>40339</v>
      </c>
      <c r="C75" s="6" t="s">
        <v>11</v>
      </c>
      <c r="D75" s="6" t="s">
        <v>18</v>
      </c>
      <c r="E75" s="6" t="s">
        <v>80</v>
      </c>
      <c r="F75" s="4">
        <v>98370.173805365383</v>
      </c>
    </row>
    <row r="76" spans="2:6" x14ac:dyDescent="0.25">
      <c r="B76" s="5">
        <v>40340</v>
      </c>
      <c r="C76" s="6" t="s">
        <v>14</v>
      </c>
      <c r="D76" s="6" t="s">
        <v>54</v>
      </c>
      <c r="E76" s="6" t="s">
        <v>81</v>
      </c>
      <c r="F76" s="4">
        <v>74372.381211779226</v>
      </c>
    </row>
    <row r="77" spans="2:6" x14ac:dyDescent="0.25">
      <c r="B77" s="5">
        <v>40344</v>
      </c>
      <c r="C77" s="6" t="s">
        <v>8</v>
      </c>
      <c r="D77" s="6" t="s">
        <v>6</v>
      </c>
      <c r="E77" s="6" t="s">
        <v>73</v>
      </c>
      <c r="F77" s="4">
        <v>43197.642935777862</v>
      </c>
    </row>
    <row r="78" spans="2:6" x14ac:dyDescent="0.25">
      <c r="B78" s="5">
        <v>40344</v>
      </c>
      <c r="C78" s="6" t="s">
        <v>5</v>
      </c>
      <c r="D78" s="6" t="s">
        <v>6</v>
      </c>
      <c r="E78" s="6" t="s">
        <v>30</v>
      </c>
      <c r="F78" s="4">
        <v>47277.348178510081</v>
      </c>
    </row>
    <row r="79" spans="2:6" x14ac:dyDescent="0.25">
      <c r="B79" s="5">
        <v>40347</v>
      </c>
      <c r="C79" s="6" t="s">
        <v>5</v>
      </c>
      <c r="D79" s="6" t="s">
        <v>23</v>
      </c>
      <c r="E79" s="6" t="s">
        <v>47</v>
      </c>
      <c r="F79" s="4">
        <v>77393.718652940006</v>
      </c>
    </row>
    <row r="80" spans="2:6" x14ac:dyDescent="0.25">
      <c r="B80" s="5">
        <v>40350</v>
      </c>
      <c r="C80" s="6" t="s">
        <v>5</v>
      </c>
      <c r="D80" s="6" t="s">
        <v>54</v>
      </c>
      <c r="E80" s="6" t="s">
        <v>82</v>
      </c>
      <c r="F80" s="4">
        <v>89027.785289891879</v>
      </c>
    </row>
    <row r="81" spans="2:6" x14ac:dyDescent="0.25">
      <c r="B81" s="5">
        <v>40353</v>
      </c>
      <c r="C81" s="6" t="s">
        <v>5</v>
      </c>
      <c r="D81" s="6" t="s">
        <v>54</v>
      </c>
      <c r="E81" s="6" t="s">
        <v>83</v>
      </c>
      <c r="F81" s="4">
        <v>10857.459053837447</v>
      </c>
    </row>
    <row r="82" spans="2:6" x14ac:dyDescent="0.25">
      <c r="B82" s="5">
        <v>40353</v>
      </c>
      <c r="C82" s="6" t="s">
        <v>5</v>
      </c>
      <c r="D82" s="6" t="s">
        <v>43</v>
      </c>
      <c r="E82" s="6" t="s">
        <v>51</v>
      </c>
      <c r="F82" s="4">
        <v>19830.4030201471</v>
      </c>
    </row>
    <row r="83" spans="2:6" x14ac:dyDescent="0.25">
      <c r="B83" s="5">
        <v>40354</v>
      </c>
      <c r="C83" s="6" t="s">
        <v>5</v>
      </c>
      <c r="D83" s="6" t="s">
        <v>18</v>
      </c>
      <c r="E83" s="6" t="s">
        <v>75</v>
      </c>
      <c r="F83" s="4">
        <v>53546.674964470032</v>
      </c>
    </row>
    <row r="84" spans="2:6" x14ac:dyDescent="0.25">
      <c r="B84" s="5">
        <v>40357</v>
      </c>
      <c r="C84" s="6" t="s">
        <v>5</v>
      </c>
      <c r="D84" s="6" t="s">
        <v>46</v>
      </c>
      <c r="E84" s="6" t="s">
        <v>84</v>
      </c>
      <c r="F84" s="4">
        <v>86460.364216255621</v>
      </c>
    </row>
    <row r="85" spans="2:6" x14ac:dyDescent="0.25">
      <c r="B85" s="5">
        <v>40360</v>
      </c>
      <c r="C85" s="6" t="s">
        <v>5</v>
      </c>
      <c r="D85" s="6" t="s">
        <v>12</v>
      </c>
      <c r="E85" s="6" t="s">
        <v>85</v>
      </c>
      <c r="F85" s="4">
        <v>16567.196645553537</v>
      </c>
    </row>
    <row r="86" spans="2:6" x14ac:dyDescent="0.25">
      <c r="B86" s="5">
        <v>40360</v>
      </c>
      <c r="C86" s="6" t="s">
        <v>5</v>
      </c>
      <c r="D86" s="6" t="s">
        <v>28</v>
      </c>
      <c r="E86" s="6" t="s">
        <v>86</v>
      </c>
      <c r="F86" s="4">
        <v>78513.896517151996</v>
      </c>
    </row>
    <row r="87" spans="2:6" x14ac:dyDescent="0.25">
      <c r="B87" s="5">
        <v>40361</v>
      </c>
      <c r="C87" s="6" t="s">
        <v>8</v>
      </c>
      <c r="D87" s="6" t="s">
        <v>54</v>
      </c>
      <c r="E87" s="6" t="s">
        <v>87</v>
      </c>
      <c r="F87" s="4">
        <v>24866.591310533837</v>
      </c>
    </row>
    <row r="88" spans="2:6" x14ac:dyDescent="0.25">
      <c r="B88" s="5">
        <v>40365</v>
      </c>
      <c r="C88" s="6" t="s">
        <v>5</v>
      </c>
      <c r="D88" s="6" t="s">
        <v>18</v>
      </c>
      <c r="E88" s="6" t="s">
        <v>88</v>
      </c>
      <c r="F88" s="4">
        <v>29311.602384949107</v>
      </c>
    </row>
    <row r="89" spans="2:6" x14ac:dyDescent="0.25">
      <c r="B89" s="5">
        <v>40365</v>
      </c>
      <c r="C89" s="6" t="s">
        <v>8</v>
      </c>
      <c r="D89" s="6" t="s">
        <v>12</v>
      </c>
      <c r="E89" s="6" t="s">
        <v>89</v>
      </c>
      <c r="F89" s="4">
        <v>11585.831695431472</v>
      </c>
    </row>
    <row r="90" spans="2:6" x14ac:dyDescent="0.25">
      <c r="B90" s="5">
        <v>40367</v>
      </c>
      <c r="C90" s="6" t="s">
        <v>5</v>
      </c>
      <c r="D90" s="6" t="s">
        <v>20</v>
      </c>
      <c r="E90" s="6" t="s">
        <v>90</v>
      </c>
      <c r="F90" s="4">
        <v>85829.368966180962</v>
      </c>
    </row>
    <row r="91" spans="2:6" x14ac:dyDescent="0.25">
      <c r="B91" s="5">
        <v>40370</v>
      </c>
      <c r="C91" s="6" t="s">
        <v>5</v>
      </c>
      <c r="D91" s="6" t="s">
        <v>54</v>
      </c>
      <c r="E91" s="6" t="s">
        <v>91</v>
      </c>
      <c r="F91" s="4">
        <v>57668.235792156542</v>
      </c>
    </row>
    <row r="92" spans="2:6" x14ac:dyDescent="0.25">
      <c r="B92" s="5">
        <v>40371</v>
      </c>
      <c r="C92" s="6" t="s">
        <v>5</v>
      </c>
      <c r="D92" s="6" t="s">
        <v>54</v>
      </c>
      <c r="E92" s="6" t="s">
        <v>78</v>
      </c>
      <c r="F92" s="4">
        <v>73807.369650952576</v>
      </c>
    </row>
    <row r="93" spans="2:6" x14ac:dyDescent="0.25">
      <c r="B93" s="5">
        <v>40371</v>
      </c>
      <c r="C93" s="6" t="s">
        <v>8</v>
      </c>
      <c r="D93" s="6" t="s">
        <v>54</v>
      </c>
      <c r="E93" s="6" t="s">
        <v>85</v>
      </c>
      <c r="F93" s="4">
        <v>24819.048067350166</v>
      </c>
    </row>
    <row r="94" spans="2:6" x14ac:dyDescent="0.25">
      <c r="B94" s="5">
        <v>40372</v>
      </c>
      <c r="C94" s="6" t="s">
        <v>5</v>
      </c>
      <c r="D94" s="6" t="s">
        <v>46</v>
      </c>
      <c r="E94" s="6" t="s">
        <v>92</v>
      </c>
      <c r="F94" s="4">
        <v>19895.747599868439</v>
      </c>
    </row>
    <row r="95" spans="2:6" x14ac:dyDescent="0.25">
      <c r="B95" s="5">
        <v>40372</v>
      </c>
      <c r="C95" s="6" t="s">
        <v>8</v>
      </c>
      <c r="D95" s="6" t="s">
        <v>6</v>
      </c>
      <c r="E95" s="6" t="s">
        <v>93</v>
      </c>
      <c r="F95" s="4">
        <v>60723.981701017008</v>
      </c>
    </row>
    <row r="96" spans="2:6" x14ac:dyDescent="0.25">
      <c r="B96" s="5">
        <v>40373</v>
      </c>
      <c r="C96" s="6" t="s">
        <v>5</v>
      </c>
      <c r="D96" s="6" t="s">
        <v>26</v>
      </c>
      <c r="E96" s="6" t="s">
        <v>61</v>
      </c>
      <c r="F96" s="4">
        <v>80726.510828918385</v>
      </c>
    </row>
    <row r="97" spans="2:6" x14ac:dyDescent="0.25">
      <c r="B97" s="5">
        <v>40374</v>
      </c>
      <c r="C97" s="6" t="s">
        <v>11</v>
      </c>
      <c r="D97" s="6" t="s">
        <v>9</v>
      </c>
      <c r="E97" s="6" t="s">
        <v>81</v>
      </c>
      <c r="F97" s="4">
        <v>76205.961346406824</v>
      </c>
    </row>
    <row r="98" spans="2:6" x14ac:dyDescent="0.25">
      <c r="B98" s="5">
        <v>40377</v>
      </c>
      <c r="C98" s="6" t="s">
        <v>5</v>
      </c>
      <c r="D98" s="6" t="s">
        <v>43</v>
      </c>
      <c r="E98" s="6" t="s">
        <v>94</v>
      </c>
      <c r="F98" s="4">
        <v>87342.580617523112</v>
      </c>
    </row>
    <row r="99" spans="2:6" x14ac:dyDescent="0.25">
      <c r="B99" s="5">
        <v>40382</v>
      </c>
      <c r="C99" s="6" t="s">
        <v>11</v>
      </c>
      <c r="D99" s="6" t="s">
        <v>6</v>
      </c>
      <c r="E99" s="6" t="s">
        <v>95</v>
      </c>
      <c r="F99" s="4">
        <v>21212.823868731295</v>
      </c>
    </row>
    <row r="100" spans="2:6" x14ac:dyDescent="0.25">
      <c r="B100" s="5">
        <v>40384</v>
      </c>
      <c r="C100" s="6" t="s">
        <v>5</v>
      </c>
      <c r="D100" s="6" t="s">
        <v>26</v>
      </c>
      <c r="E100" s="6" t="s">
        <v>96</v>
      </c>
      <c r="F100" s="4">
        <v>20277.227798889857</v>
      </c>
    </row>
    <row r="101" spans="2:6" x14ac:dyDescent="0.25">
      <c r="B101" s="5">
        <v>40384</v>
      </c>
      <c r="C101" s="6" t="s">
        <v>5</v>
      </c>
      <c r="D101" s="6" t="s">
        <v>40</v>
      </c>
      <c r="E101" s="6" t="s">
        <v>52</v>
      </c>
      <c r="F101" s="4">
        <v>57003.230760279199</v>
      </c>
    </row>
    <row r="102" spans="2:6" x14ac:dyDescent="0.25">
      <c r="B102" s="5">
        <v>40390</v>
      </c>
      <c r="C102" s="6" t="s">
        <v>11</v>
      </c>
      <c r="D102" s="6" t="s">
        <v>35</v>
      </c>
      <c r="E102" s="6" t="s">
        <v>82</v>
      </c>
      <c r="F102" s="4">
        <v>14636.627388509954</v>
      </c>
    </row>
    <row r="103" spans="2:6" x14ac:dyDescent="0.25">
      <c r="B103" s="5">
        <v>40392</v>
      </c>
      <c r="C103" s="6" t="s">
        <v>14</v>
      </c>
      <c r="D103" s="6" t="s">
        <v>9</v>
      </c>
      <c r="E103" s="6" t="s">
        <v>75</v>
      </c>
      <c r="F103" s="4">
        <v>69439.97530471682</v>
      </c>
    </row>
    <row r="104" spans="2:6" x14ac:dyDescent="0.25">
      <c r="B104" s="5">
        <v>40397</v>
      </c>
      <c r="C104" s="6" t="s">
        <v>5</v>
      </c>
      <c r="D104" s="6" t="s">
        <v>46</v>
      </c>
      <c r="E104" s="6" t="s">
        <v>53</v>
      </c>
      <c r="F104" s="4">
        <v>53419.990588399203</v>
      </c>
    </row>
    <row r="105" spans="2:6" x14ac:dyDescent="0.25">
      <c r="B105" s="5">
        <v>40398</v>
      </c>
      <c r="C105" s="6" t="s">
        <v>8</v>
      </c>
      <c r="D105" s="6" t="s">
        <v>6</v>
      </c>
      <c r="E105" s="6" t="s">
        <v>97</v>
      </c>
      <c r="F105" s="4">
        <v>81497.360860518704</v>
      </c>
    </row>
    <row r="106" spans="2:6" x14ac:dyDescent="0.25">
      <c r="B106" s="5">
        <v>40406</v>
      </c>
      <c r="C106" s="6" t="s">
        <v>8</v>
      </c>
      <c r="D106" s="6" t="s">
        <v>15</v>
      </c>
      <c r="E106" s="6" t="s">
        <v>98</v>
      </c>
      <c r="F106" s="4">
        <v>81429.688265921432</v>
      </c>
    </row>
    <row r="107" spans="2:6" x14ac:dyDescent="0.25">
      <c r="B107" s="5">
        <v>40406</v>
      </c>
      <c r="C107" s="6" t="s">
        <v>11</v>
      </c>
      <c r="D107" s="6" t="s">
        <v>15</v>
      </c>
      <c r="E107" s="6" t="s">
        <v>99</v>
      </c>
      <c r="F107" s="4">
        <v>80327.61677926885</v>
      </c>
    </row>
    <row r="108" spans="2:6" x14ac:dyDescent="0.25">
      <c r="B108" s="5">
        <v>40407</v>
      </c>
      <c r="C108" s="6" t="s">
        <v>5</v>
      </c>
      <c r="D108" s="6" t="s">
        <v>54</v>
      </c>
      <c r="E108" s="6" t="s">
        <v>84</v>
      </c>
      <c r="F108" s="4">
        <v>65694.84018192334</v>
      </c>
    </row>
    <row r="109" spans="2:6" x14ac:dyDescent="0.25">
      <c r="B109" s="5">
        <v>40408</v>
      </c>
      <c r="C109" s="6" t="s">
        <v>8</v>
      </c>
      <c r="D109" s="6" t="s">
        <v>46</v>
      </c>
      <c r="E109" s="6" t="s">
        <v>100</v>
      </c>
      <c r="F109" s="4">
        <v>74385.35522926868</v>
      </c>
    </row>
    <row r="110" spans="2:6" x14ac:dyDescent="0.25">
      <c r="B110" s="5">
        <v>40417</v>
      </c>
      <c r="C110" s="6" t="s">
        <v>8</v>
      </c>
      <c r="D110" s="6" t="s">
        <v>46</v>
      </c>
      <c r="E110" s="6" t="s">
        <v>34</v>
      </c>
      <c r="F110" s="4">
        <v>52199.546465626532</v>
      </c>
    </row>
    <row r="111" spans="2:6" x14ac:dyDescent="0.25">
      <c r="B111" s="5">
        <v>40418</v>
      </c>
      <c r="C111" s="6" t="s">
        <v>5</v>
      </c>
      <c r="D111" s="6" t="s">
        <v>28</v>
      </c>
      <c r="E111" s="6" t="s">
        <v>101</v>
      </c>
      <c r="F111" s="4">
        <v>99955.967816385877</v>
      </c>
    </row>
    <row r="112" spans="2:6" x14ac:dyDescent="0.25">
      <c r="B112" s="5">
        <v>40420</v>
      </c>
      <c r="C112" s="6" t="s">
        <v>14</v>
      </c>
      <c r="D112" s="6" t="s">
        <v>26</v>
      </c>
      <c r="E112" s="6" t="s">
        <v>102</v>
      </c>
      <c r="F112" s="4">
        <v>66207.167537970265</v>
      </c>
    </row>
    <row r="113" spans="2:6" x14ac:dyDescent="0.25">
      <c r="B113" s="5">
        <v>40420</v>
      </c>
      <c r="C113" s="6" t="s">
        <v>14</v>
      </c>
      <c r="D113" s="6" t="s">
        <v>35</v>
      </c>
      <c r="E113" s="6" t="s">
        <v>103</v>
      </c>
      <c r="F113" s="4">
        <v>44141.543717721179</v>
      </c>
    </row>
    <row r="114" spans="2:6" x14ac:dyDescent="0.25">
      <c r="B114" s="5">
        <v>40425</v>
      </c>
      <c r="C114" s="6" t="s">
        <v>14</v>
      </c>
      <c r="D114" s="6" t="s">
        <v>6</v>
      </c>
      <c r="E114" s="6" t="s">
        <v>81</v>
      </c>
      <c r="F114" s="4">
        <v>58843.051386566636</v>
      </c>
    </row>
    <row r="115" spans="2:6" x14ac:dyDescent="0.25">
      <c r="B115" s="5">
        <v>40426</v>
      </c>
      <c r="C115" s="6" t="s">
        <v>8</v>
      </c>
      <c r="D115" s="6" t="s">
        <v>26</v>
      </c>
      <c r="E115" s="6" t="s">
        <v>104</v>
      </c>
      <c r="F115" s="4">
        <v>95579.11318358405</v>
      </c>
    </row>
    <row r="116" spans="2:6" x14ac:dyDescent="0.25">
      <c r="B116" s="5">
        <v>40432</v>
      </c>
      <c r="C116" s="6" t="s">
        <v>5</v>
      </c>
      <c r="D116" s="6" t="s">
        <v>33</v>
      </c>
      <c r="E116" s="6" t="s">
        <v>45</v>
      </c>
      <c r="F116" s="4">
        <v>60625.211568521372</v>
      </c>
    </row>
    <row r="117" spans="2:6" x14ac:dyDescent="0.25">
      <c r="B117" s="5">
        <v>40434</v>
      </c>
      <c r="C117" s="6" t="s">
        <v>8</v>
      </c>
      <c r="D117" s="6" t="s">
        <v>23</v>
      </c>
      <c r="E117" s="6" t="s">
        <v>105</v>
      </c>
      <c r="F117" s="4">
        <v>92563.684048673356</v>
      </c>
    </row>
    <row r="118" spans="2:6" x14ac:dyDescent="0.25">
      <c r="B118" s="5">
        <v>40437</v>
      </c>
      <c r="C118" s="6" t="s">
        <v>11</v>
      </c>
      <c r="D118" s="6" t="s">
        <v>28</v>
      </c>
      <c r="E118" s="6" t="s">
        <v>106</v>
      </c>
      <c r="F118" s="4">
        <v>18589.013542746634</v>
      </c>
    </row>
    <row r="119" spans="2:6" x14ac:dyDescent="0.25">
      <c r="B119" s="5">
        <v>40446</v>
      </c>
      <c r="C119" s="6" t="s">
        <v>8</v>
      </c>
      <c r="D119" s="6" t="s">
        <v>6</v>
      </c>
      <c r="E119" s="6" t="s">
        <v>107</v>
      </c>
      <c r="F119" s="4">
        <v>99164.964090683439</v>
      </c>
    </row>
    <row r="120" spans="2:6" x14ac:dyDescent="0.25">
      <c r="B120" s="5">
        <v>40447</v>
      </c>
      <c r="C120" s="6" t="s">
        <v>11</v>
      </c>
      <c r="D120" s="6" t="s">
        <v>12</v>
      </c>
      <c r="E120" s="6" t="s">
        <v>108</v>
      </c>
      <c r="F120" s="4">
        <v>83013.701975319622</v>
      </c>
    </row>
    <row r="121" spans="2:6" x14ac:dyDescent="0.25">
      <c r="B121" s="5">
        <v>40452</v>
      </c>
      <c r="C121" s="6" t="s">
        <v>8</v>
      </c>
      <c r="D121" s="6" t="s">
        <v>6</v>
      </c>
      <c r="E121" s="6" t="s">
        <v>109</v>
      </c>
      <c r="F121" s="4">
        <v>63828.722992719937</v>
      </c>
    </row>
    <row r="122" spans="2:6" x14ac:dyDescent="0.25">
      <c r="B122" s="5">
        <v>40457</v>
      </c>
      <c r="C122" s="6" t="s">
        <v>8</v>
      </c>
      <c r="D122" s="6" t="s">
        <v>54</v>
      </c>
      <c r="E122" s="6" t="s">
        <v>92</v>
      </c>
      <c r="F122" s="4">
        <v>34249.117443124029</v>
      </c>
    </row>
    <row r="123" spans="2:6" x14ac:dyDescent="0.25">
      <c r="B123" s="5">
        <v>40467</v>
      </c>
      <c r="C123" s="6" t="s">
        <v>5</v>
      </c>
      <c r="D123" s="6" t="s">
        <v>20</v>
      </c>
      <c r="E123" s="6" t="s">
        <v>75</v>
      </c>
      <c r="F123" s="4">
        <v>43977.887558978691</v>
      </c>
    </row>
    <row r="124" spans="2:6" x14ac:dyDescent="0.25">
      <c r="B124" s="5">
        <v>40473</v>
      </c>
      <c r="C124" s="6" t="s">
        <v>5</v>
      </c>
      <c r="D124" s="6" t="s">
        <v>9</v>
      </c>
      <c r="E124" s="6" t="s">
        <v>53</v>
      </c>
      <c r="F124" s="4">
        <v>30775.114754532093</v>
      </c>
    </row>
    <row r="125" spans="2:6" x14ac:dyDescent="0.25">
      <c r="B125" s="5">
        <v>40473</v>
      </c>
      <c r="C125" s="6" t="s">
        <v>8</v>
      </c>
      <c r="D125" s="6" t="s">
        <v>40</v>
      </c>
      <c r="E125" s="6" t="s">
        <v>110</v>
      </c>
      <c r="F125" s="4">
        <v>38084.677304613542</v>
      </c>
    </row>
    <row r="126" spans="2:6" x14ac:dyDescent="0.25">
      <c r="B126" s="5">
        <v>40475</v>
      </c>
      <c r="C126" s="6" t="s">
        <v>5</v>
      </c>
      <c r="D126" s="6" t="s">
        <v>18</v>
      </c>
      <c r="E126" s="6" t="s">
        <v>39</v>
      </c>
      <c r="F126" s="4">
        <v>10187.583667108565</v>
      </c>
    </row>
    <row r="127" spans="2:6" x14ac:dyDescent="0.25">
      <c r="B127" s="5">
        <v>40480</v>
      </c>
      <c r="C127" s="6" t="s">
        <v>5</v>
      </c>
      <c r="D127" s="6" t="s">
        <v>12</v>
      </c>
      <c r="E127" s="6" t="s">
        <v>38</v>
      </c>
      <c r="F127" s="4">
        <v>33675.291904817677</v>
      </c>
    </row>
    <row r="128" spans="2:6" x14ac:dyDescent="0.25">
      <c r="B128" s="5">
        <v>40483</v>
      </c>
      <c r="C128" s="6" t="s">
        <v>5</v>
      </c>
      <c r="D128" s="6" t="s">
        <v>20</v>
      </c>
      <c r="E128" s="6" t="s">
        <v>16</v>
      </c>
      <c r="F128" s="4">
        <v>56907.71936178414</v>
      </c>
    </row>
    <row r="129" spans="2:6" x14ac:dyDescent="0.25">
      <c r="B129" s="5">
        <v>40485</v>
      </c>
      <c r="C129" s="6" t="s">
        <v>5</v>
      </c>
      <c r="D129" s="6" t="s">
        <v>43</v>
      </c>
      <c r="E129" s="6" t="s">
        <v>75</v>
      </c>
      <c r="F129" s="4">
        <v>83611.355830358632</v>
      </c>
    </row>
    <row r="130" spans="2:6" x14ac:dyDescent="0.25">
      <c r="B130" s="5">
        <v>40485</v>
      </c>
      <c r="C130" s="6" t="s">
        <v>5</v>
      </c>
      <c r="D130" s="6" t="s">
        <v>15</v>
      </c>
      <c r="E130" s="6" t="s">
        <v>110</v>
      </c>
      <c r="F130" s="4">
        <v>74559.5275454972</v>
      </c>
    </row>
    <row r="131" spans="2:6" x14ac:dyDescent="0.25">
      <c r="B131" s="5">
        <v>40486</v>
      </c>
      <c r="C131" s="6" t="s">
        <v>5</v>
      </c>
      <c r="D131" s="6" t="s">
        <v>28</v>
      </c>
      <c r="E131" s="6" t="s">
        <v>27</v>
      </c>
      <c r="F131" s="4">
        <v>96491.656238014664</v>
      </c>
    </row>
    <row r="132" spans="2:6" x14ac:dyDescent="0.25">
      <c r="B132" s="5">
        <v>40489</v>
      </c>
      <c r="C132" s="6" t="s">
        <v>8</v>
      </c>
      <c r="D132" s="6" t="s">
        <v>20</v>
      </c>
      <c r="E132" s="6" t="s">
        <v>111</v>
      </c>
      <c r="F132" s="4">
        <v>61978.693107038147</v>
      </c>
    </row>
    <row r="133" spans="2:6" x14ac:dyDescent="0.25">
      <c r="B133" s="5">
        <v>40490</v>
      </c>
      <c r="C133" s="6" t="s">
        <v>5</v>
      </c>
      <c r="D133" s="6" t="s">
        <v>18</v>
      </c>
      <c r="E133" s="6" t="s">
        <v>112</v>
      </c>
      <c r="F133" s="4">
        <v>62190.347926215603</v>
      </c>
    </row>
    <row r="134" spans="2:6" x14ac:dyDescent="0.25">
      <c r="B134" s="5">
        <v>40491</v>
      </c>
      <c r="C134" s="6" t="s">
        <v>8</v>
      </c>
      <c r="D134" s="6" t="s">
        <v>35</v>
      </c>
      <c r="E134" s="6" t="s">
        <v>113</v>
      </c>
      <c r="F134" s="4">
        <v>55616.517809512945</v>
      </c>
    </row>
    <row r="135" spans="2:6" x14ac:dyDescent="0.25">
      <c r="B135" s="5">
        <v>40495</v>
      </c>
      <c r="C135" s="6" t="s">
        <v>5</v>
      </c>
      <c r="D135" s="6" t="s">
        <v>54</v>
      </c>
      <c r="E135" s="6" t="s">
        <v>114</v>
      </c>
      <c r="F135" s="4">
        <v>77431.560668191436</v>
      </c>
    </row>
    <row r="136" spans="2:6" x14ac:dyDescent="0.25">
      <c r="B136" s="5">
        <v>40499</v>
      </c>
      <c r="C136" s="6" t="s">
        <v>11</v>
      </c>
      <c r="D136" s="6" t="s">
        <v>12</v>
      </c>
      <c r="E136" s="6" t="s">
        <v>115</v>
      </c>
      <c r="F136" s="4">
        <v>81472.161966041371</v>
      </c>
    </row>
    <row r="137" spans="2:6" x14ac:dyDescent="0.25">
      <c r="B137" s="5">
        <v>40500</v>
      </c>
      <c r="C137" s="6" t="s">
        <v>5</v>
      </c>
      <c r="D137" s="6" t="s">
        <v>46</v>
      </c>
      <c r="E137" s="6" t="s">
        <v>29</v>
      </c>
      <c r="F137" s="4">
        <v>86722.776829275361</v>
      </c>
    </row>
    <row r="138" spans="2:6" x14ac:dyDescent="0.25">
      <c r="B138" s="5">
        <v>40511</v>
      </c>
      <c r="C138" s="6" t="s">
        <v>5</v>
      </c>
      <c r="D138" s="6" t="s">
        <v>43</v>
      </c>
      <c r="E138" s="6" t="s">
        <v>116</v>
      </c>
      <c r="F138" s="4">
        <v>40836.709077621301</v>
      </c>
    </row>
    <row r="139" spans="2:6" x14ac:dyDescent="0.25">
      <c r="B139" s="5">
        <v>40515</v>
      </c>
      <c r="C139" s="6" t="s">
        <v>5</v>
      </c>
      <c r="D139" s="6" t="s">
        <v>35</v>
      </c>
      <c r="E139" s="6" t="s">
        <v>117</v>
      </c>
      <c r="F139" s="4">
        <v>95322.373288225775</v>
      </c>
    </row>
    <row r="140" spans="2:6" x14ac:dyDescent="0.25">
      <c r="B140" s="5">
        <v>40517</v>
      </c>
      <c r="C140" s="6" t="s">
        <v>11</v>
      </c>
      <c r="D140" s="6" t="s">
        <v>20</v>
      </c>
      <c r="E140" s="6" t="s">
        <v>118</v>
      </c>
      <c r="F140" s="4">
        <v>26037.385110741459</v>
      </c>
    </row>
    <row r="141" spans="2:6" x14ac:dyDescent="0.25">
      <c r="B141" s="5">
        <v>40520</v>
      </c>
      <c r="C141" s="6" t="s">
        <v>5</v>
      </c>
      <c r="D141" s="6" t="s">
        <v>9</v>
      </c>
      <c r="E141" s="6" t="s">
        <v>119</v>
      </c>
      <c r="F141" s="4">
        <v>15259.075530970364</v>
      </c>
    </row>
    <row r="142" spans="2:6" x14ac:dyDescent="0.25">
      <c r="B142" s="5">
        <v>40525</v>
      </c>
      <c r="C142" s="6" t="s">
        <v>5</v>
      </c>
      <c r="D142" s="6" t="s">
        <v>18</v>
      </c>
      <c r="E142" s="6" t="s">
        <v>120</v>
      </c>
      <c r="F142" s="4">
        <v>98651.4722427292</v>
      </c>
    </row>
    <row r="143" spans="2:6" x14ac:dyDescent="0.25">
      <c r="B143" s="5">
        <v>40526</v>
      </c>
      <c r="C143" s="6" t="s">
        <v>14</v>
      </c>
      <c r="D143" s="6" t="s">
        <v>20</v>
      </c>
      <c r="E143" s="6" t="s">
        <v>114</v>
      </c>
      <c r="F143" s="4">
        <v>96744.005769800948</v>
      </c>
    </row>
    <row r="144" spans="2:6" x14ac:dyDescent="0.25">
      <c r="B144" s="5">
        <v>40527</v>
      </c>
      <c r="C144" s="6" t="s">
        <v>5</v>
      </c>
      <c r="D144" s="6" t="s">
        <v>6</v>
      </c>
      <c r="E144" s="6" t="s">
        <v>121</v>
      </c>
      <c r="F144" s="4">
        <v>31733.766303363886</v>
      </c>
    </row>
    <row r="145" spans="2:6" x14ac:dyDescent="0.25">
      <c r="B145" s="5">
        <v>40528</v>
      </c>
      <c r="C145" s="6" t="s">
        <v>5</v>
      </c>
      <c r="D145" s="6" t="s">
        <v>28</v>
      </c>
      <c r="E145" s="6" t="s">
        <v>62</v>
      </c>
      <c r="F145" s="4">
        <v>10444.136344075421</v>
      </c>
    </row>
    <row r="146" spans="2:6" x14ac:dyDescent="0.25">
      <c r="B146" s="5">
        <v>40530</v>
      </c>
      <c r="C146" s="6" t="s">
        <v>5</v>
      </c>
      <c r="D146" s="6" t="s">
        <v>46</v>
      </c>
      <c r="E146" s="6" t="s">
        <v>19</v>
      </c>
      <c r="F146" s="4">
        <v>67118.94263804263</v>
      </c>
    </row>
    <row r="147" spans="2:6" x14ac:dyDescent="0.25">
      <c r="B147" s="5">
        <v>40534</v>
      </c>
      <c r="C147" s="6" t="s">
        <v>5</v>
      </c>
      <c r="D147" s="6" t="s">
        <v>35</v>
      </c>
      <c r="E147" s="6" t="s">
        <v>57</v>
      </c>
      <c r="F147" s="4">
        <v>75825.448780903869</v>
      </c>
    </row>
    <row r="148" spans="2:6" x14ac:dyDescent="0.25">
      <c r="B148" s="5">
        <v>40536</v>
      </c>
      <c r="C148" s="6" t="s">
        <v>14</v>
      </c>
      <c r="D148" s="6" t="s">
        <v>15</v>
      </c>
      <c r="E148" s="6" t="s">
        <v>10</v>
      </c>
      <c r="F148" s="4">
        <v>33765.96560788231</v>
      </c>
    </row>
    <row r="149" spans="2:6" x14ac:dyDescent="0.25">
      <c r="B149" s="5">
        <v>40537</v>
      </c>
      <c r="C149" s="6" t="s">
        <v>5</v>
      </c>
      <c r="D149" s="6" t="s">
        <v>18</v>
      </c>
      <c r="E149" s="6" t="s">
        <v>100</v>
      </c>
      <c r="F149" s="4">
        <v>23049.997950626654</v>
      </c>
    </row>
    <row r="150" spans="2:6" x14ac:dyDescent="0.25">
      <c r="B150" s="5">
        <v>40537</v>
      </c>
      <c r="C150" s="6" t="s">
        <v>14</v>
      </c>
      <c r="D150" s="6" t="s">
        <v>46</v>
      </c>
      <c r="E150" s="6" t="s">
        <v>48</v>
      </c>
      <c r="F150" s="4">
        <v>23043.677496702814</v>
      </c>
    </row>
    <row r="151" spans="2:6" x14ac:dyDescent="0.25">
      <c r="B151" s="5">
        <v>40539</v>
      </c>
      <c r="C151" s="6" t="s">
        <v>5</v>
      </c>
      <c r="D151" s="6" t="s">
        <v>40</v>
      </c>
      <c r="E151" s="6" t="s">
        <v>122</v>
      </c>
      <c r="F151" s="4">
        <v>42808.472855768785</v>
      </c>
    </row>
    <row r="152" spans="2:6" x14ac:dyDescent="0.25">
      <c r="B152" s="5">
        <v>40540</v>
      </c>
      <c r="C152" s="6" t="s">
        <v>5</v>
      </c>
      <c r="D152" s="6" t="s">
        <v>15</v>
      </c>
      <c r="E152" s="6" t="s">
        <v>123</v>
      </c>
      <c r="F152" s="4">
        <v>92781.225223037414</v>
      </c>
    </row>
    <row r="153" spans="2:6" x14ac:dyDescent="0.25">
      <c r="B153" s="5">
        <v>40542</v>
      </c>
      <c r="C153" s="6" t="s">
        <v>11</v>
      </c>
      <c r="D153" s="6" t="s">
        <v>15</v>
      </c>
      <c r="E153" s="6" t="s">
        <v>42</v>
      </c>
      <c r="F153" s="4">
        <v>50967.312484008187</v>
      </c>
    </row>
    <row r="154" spans="2:6" x14ac:dyDescent="0.25">
      <c r="B154" s="5">
        <v>40544</v>
      </c>
      <c r="C154" s="6" t="s">
        <v>11</v>
      </c>
      <c r="D154" s="6" t="s">
        <v>43</v>
      </c>
      <c r="E154" s="6" t="s">
        <v>98</v>
      </c>
      <c r="F154" s="4">
        <v>81612.967170886521</v>
      </c>
    </row>
    <row r="155" spans="2:6" x14ac:dyDescent="0.25">
      <c r="B155" s="5">
        <v>40549</v>
      </c>
      <c r="C155" s="6" t="s">
        <v>5</v>
      </c>
      <c r="D155" s="6" t="s">
        <v>33</v>
      </c>
      <c r="E155" s="6" t="s">
        <v>89</v>
      </c>
      <c r="F155" s="4">
        <v>12740.544609090111</v>
      </c>
    </row>
    <row r="156" spans="2:6" x14ac:dyDescent="0.25">
      <c r="B156" s="5">
        <v>40554</v>
      </c>
      <c r="C156" s="6" t="s">
        <v>5</v>
      </c>
      <c r="D156" s="6" t="s">
        <v>54</v>
      </c>
      <c r="E156" s="6" t="s">
        <v>124</v>
      </c>
      <c r="F156" s="4">
        <v>27890.236393237265</v>
      </c>
    </row>
    <row r="157" spans="2:6" x14ac:dyDescent="0.25">
      <c r="B157" s="5">
        <v>40555</v>
      </c>
      <c r="C157" s="6" t="s">
        <v>11</v>
      </c>
      <c r="D157" s="6" t="s">
        <v>40</v>
      </c>
      <c r="E157" s="6" t="s">
        <v>37</v>
      </c>
      <c r="F157" s="4">
        <v>46812.072208828919</v>
      </c>
    </row>
    <row r="158" spans="2:6" x14ac:dyDescent="0.25">
      <c r="B158" s="5">
        <v>40562</v>
      </c>
      <c r="C158" s="6" t="s">
        <v>8</v>
      </c>
      <c r="D158" s="6" t="s">
        <v>46</v>
      </c>
      <c r="E158" s="6" t="s">
        <v>90</v>
      </c>
      <c r="F158" s="4">
        <v>27051.192057784512</v>
      </c>
    </row>
    <row r="159" spans="2:6" x14ac:dyDescent="0.25">
      <c r="B159" s="5">
        <v>40562</v>
      </c>
      <c r="C159" s="6" t="s">
        <v>8</v>
      </c>
      <c r="D159" s="6" t="s">
        <v>26</v>
      </c>
      <c r="E159" s="6" t="s">
        <v>103</v>
      </c>
      <c r="F159" s="4">
        <v>14792.477080970695</v>
      </c>
    </row>
    <row r="160" spans="2:6" x14ac:dyDescent="0.25">
      <c r="B160" s="5">
        <v>40569</v>
      </c>
      <c r="C160" s="6" t="s">
        <v>8</v>
      </c>
      <c r="D160" s="6" t="s">
        <v>23</v>
      </c>
      <c r="E160" s="6" t="s">
        <v>25</v>
      </c>
      <c r="F160" s="4">
        <v>30232.831490047469</v>
      </c>
    </row>
    <row r="161" spans="2:6" x14ac:dyDescent="0.25">
      <c r="B161" s="5">
        <v>40570</v>
      </c>
      <c r="C161" s="6" t="s">
        <v>14</v>
      </c>
      <c r="D161" s="6" t="s">
        <v>26</v>
      </c>
      <c r="E161" s="6" t="s">
        <v>42</v>
      </c>
      <c r="F161" s="4">
        <v>25262.699105680102</v>
      </c>
    </row>
    <row r="162" spans="2:6" x14ac:dyDescent="0.25">
      <c r="B162" s="5">
        <v>40572</v>
      </c>
      <c r="C162" s="6" t="s">
        <v>14</v>
      </c>
      <c r="D162" s="6" t="s">
        <v>54</v>
      </c>
      <c r="E162" s="6" t="s">
        <v>48</v>
      </c>
      <c r="F162" s="4">
        <v>53757.155187891018</v>
      </c>
    </row>
    <row r="163" spans="2:6" x14ac:dyDescent="0.25">
      <c r="B163" s="5">
        <v>40573</v>
      </c>
      <c r="C163" s="6" t="s">
        <v>5</v>
      </c>
      <c r="D163" s="6" t="s">
        <v>40</v>
      </c>
      <c r="E163" s="6" t="s">
        <v>125</v>
      </c>
      <c r="F163" s="4">
        <v>54802.618765587926</v>
      </c>
    </row>
    <row r="164" spans="2:6" x14ac:dyDescent="0.25">
      <c r="B164" s="5">
        <v>40575</v>
      </c>
      <c r="C164" s="6" t="s">
        <v>8</v>
      </c>
      <c r="D164" s="6" t="s">
        <v>40</v>
      </c>
      <c r="E164" s="6" t="s">
        <v>126</v>
      </c>
      <c r="F164" s="4">
        <v>28830.641095414674</v>
      </c>
    </row>
    <row r="165" spans="2:6" x14ac:dyDescent="0.25">
      <c r="B165" s="5">
        <v>40577</v>
      </c>
      <c r="C165" s="6" t="s">
        <v>5</v>
      </c>
      <c r="D165" s="6" t="s">
        <v>46</v>
      </c>
      <c r="E165" s="6" t="s">
        <v>72</v>
      </c>
      <c r="F165" s="4">
        <v>47009.073535483083</v>
      </c>
    </row>
    <row r="166" spans="2:6" x14ac:dyDescent="0.25">
      <c r="B166" s="5">
        <v>40585</v>
      </c>
      <c r="C166" s="6" t="s">
        <v>8</v>
      </c>
      <c r="D166" s="6" t="s">
        <v>18</v>
      </c>
      <c r="E166" s="6" t="s">
        <v>69</v>
      </c>
      <c r="F166" s="4">
        <v>67212.667154611132</v>
      </c>
    </row>
    <row r="167" spans="2:6" x14ac:dyDescent="0.25">
      <c r="B167" s="5">
        <v>40586</v>
      </c>
      <c r="C167" s="6" t="s">
        <v>8</v>
      </c>
      <c r="D167" s="6" t="s">
        <v>12</v>
      </c>
      <c r="E167" s="6" t="s">
        <v>58</v>
      </c>
      <c r="F167" s="4">
        <v>38901.601993978547</v>
      </c>
    </row>
    <row r="168" spans="2:6" x14ac:dyDescent="0.25">
      <c r="B168" s="5">
        <v>40588</v>
      </c>
      <c r="C168" s="6" t="s">
        <v>5</v>
      </c>
      <c r="D168" s="6" t="s">
        <v>33</v>
      </c>
      <c r="E168" s="6" t="s">
        <v>127</v>
      </c>
      <c r="F168" s="4">
        <v>98820.762857554073</v>
      </c>
    </row>
    <row r="169" spans="2:6" x14ac:dyDescent="0.25">
      <c r="B169" s="5">
        <v>40589</v>
      </c>
      <c r="C169" s="6" t="s">
        <v>5</v>
      </c>
      <c r="D169" s="6" t="s">
        <v>40</v>
      </c>
      <c r="E169" s="6" t="s">
        <v>47</v>
      </c>
      <c r="F169" s="4">
        <v>84303.330960107342</v>
      </c>
    </row>
    <row r="170" spans="2:6" x14ac:dyDescent="0.25">
      <c r="B170" s="5">
        <v>40590</v>
      </c>
      <c r="C170" s="6" t="s">
        <v>5</v>
      </c>
      <c r="D170" s="6" t="s">
        <v>6</v>
      </c>
      <c r="E170" s="6" t="s">
        <v>128</v>
      </c>
      <c r="F170" s="4">
        <v>48416.787157453982</v>
      </c>
    </row>
    <row r="171" spans="2:6" x14ac:dyDescent="0.25">
      <c r="B171" s="5">
        <v>40590</v>
      </c>
      <c r="C171" s="6" t="s">
        <v>5</v>
      </c>
      <c r="D171" s="6" t="s">
        <v>18</v>
      </c>
      <c r="E171" s="6" t="s">
        <v>60</v>
      </c>
      <c r="F171" s="4">
        <v>55099.300869524239</v>
      </c>
    </row>
    <row r="172" spans="2:6" x14ac:dyDescent="0.25">
      <c r="B172" s="5">
        <v>40592</v>
      </c>
      <c r="C172" s="6" t="s">
        <v>11</v>
      </c>
      <c r="D172" s="6" t="s">
        <v>23</v>
      </c>
      <c r="E172" s="6" t="s">
        <v>129</v>
      </c>
      <c r="F172" s="4">
        <v>83616.340377592976</v>
      </c>
    </row>
    <row r="173" spans="2:6" x14ac:dyDescent="0.25">
      <c r="B173" s="5">
        <v>40594</v>
      </c>
      <c r="C173" s="6" t="s">
        <v>8</v>
      </c>
      <c r="D173" s="6" t="s">
        <v>6</v>
      </c>
      <c r="E173" s="6" t="s">
        <v>130</v>
      </c>
      <c r="F173" s="4">
        <v>58834.63395141215</v>
      </c>
    </row>
    <row r="174" spans="2:6" x14ac:dyDescent="0.25">
      <c r="B174" s="5">
        <v>40596</v>
      </c>
      <c r="C174" s="6" t="s">
        <v>8</v>
      </c>
      <c r="D174" s="6" t="s">
        <v>40</v>
      </c>
      <c r="E174" s="6" t="s">
        <v>126</v>
      </c>
      <c r="F174" s="4">
        <v>25427.659939321678</v>
      </c>
    </row>
    <row r="175" spans="2:6" x14ac:dyDescent="0.25">
      <c r="B175" s="5">
        <v>40599</v>
      </c>
      <c r="C175" s="6" t="s">
        <v>5</v>
      </c>
      <c r="D175" s="6" t="s">
        <v>33</v>
      </c>
      <c r="E175" s="6" t="s">
        <v>49</v>
      </c>
      <c r="F175" s="4">
        <v>18824.285910206851</v>
      </c>
    </row>
    <row r="176" spans="2:6" x14ac:dyDescent="0.25">
      <c r="B176" s="5">
        <v>40599</v>
      </c>
      <c r="C176" s="6" t="s">
        <v>11</v>
      </c>
      <c r="D176" s="6" t="s">
        <v>28</v>
      </c>
      <c r="E176" s="6" t="s">
        <v>131</v>
      </c>
      <c r="F176" s="4">
        <v>36022.618996004603</v>
      </c>
    </row>
    <row r="177" spans="2:6" x14ac:dyDescent="0.25">
      <c r="B177" s="5">
        <v>40600</v>
      </c>
      <c r="C177" s="6" t="s">
        <v>5</v>
      </c>
      <c r="D177" s="6" t="s">
        <v>33</v>
      </c>
      <c r="E177" s="6" t="s">
        <v>132</v>
      </c>
      <c r="F177" s="4">
        <v>99315.485739308468</v>
      </c>
    </row>
    <row r="178" spans="2:6" x14ac:dyDescent="0.25">
      <c r="B178" s="5">
        <v>40600</v>
      </c>
      <c r="C178" s="6" t="s">
        <v>5</v>
      </c>
      <c r="D178" s="6" t="s">
        <v>43</v>
      </c>
      <c r="E178" s="6" t="s">
        <v>55</v>
      </c>
      <c r="F178" s="4">
        <v>62247.824554184466</v>
      </c>
    </row>
    <row r="179" spans="2:6" x14ac:dyDescent="0.25">
      <c r="B179" s="5">
        <v>40602</v>
      </c>
      <c r="C179" s="6" t="s">
        <v>8</v>
      </c>
      <c r="D179" s="6" t="s">
        <v>23</v>
      </c>
      <c r="E179" s="6" t="s">
        <v>133</v>
      </c>
      <c r="F179" s="4">
        <v>56216.980695611019</v>
      </c>
    </row>
    <row r="180" spans="2:6" x14ac:dyDescent="0.25">
      <c r="B180" s="5">
        <v>40602</v>
      </c>
      <c r="C180" s="6" t="s">
        <v>8</v>
      </c>
      <c r="D180" s="6" t="s">
        <v>43</v>
      </c>
      <c r="E180" s="6" t="s">
        <v>134</v>
      </c>
      <c r="F180" s="4">
        <v>15603.769058201471</v>
      </c>
    </row>
    <row r="181" spans="2:6" x14ac:dyDescent="0.25">
      <c r="B181" s="5">
        <v>40603</v>
      </c>
      <c r="C181" s="6" t="s">
        <v>5</v>
      </c>
      <c r="D181" s="6" t="s">
        <v>20</v>
      </c>
      <c r="E181" s="6" t="s">
        <v>84</v>
      </c>
      <c r="F181" s="4">
        <v>49887.210288800467</v>
      </c>
    </row>
    <row r="182" spans="2:6" x14ac:dyDescent="0.25">
      <c r="B182" s="5">
        <v>40603</v>
      </c>
      <c r="C182" s="6" t="s">
        <v>8</v>
      </c>
      <c r="D182" s="6" t="s">
        <v>35</v>
      </c>
      <c r="E182" s="6" t="s">
        <v>135</v>
      </c>
      <c r="F182" s="4">
        <v>93190.4919587443</v>
      </c>
    </row>
    <row r="183" spans="2:6" x14ac:dyDescent="0.25">
      <c r="B183" s="5">
        <v>40604</v>
      </c>
      <c r="C183" s="6" t="s">
        <v>5</v>
      </c>
      <c r="D183" s="6" t="s">
        <v>43</v>
      </c>
      <c r="E183" s="6" t="s">
        <v>7</v>
      </c>
      <c r="F183" s="4">
        <v>57130.840090844657</v>
      </c>
    </row>
    <row r="184" spans="2:6" x14ac:dyDescent="0.25">
      <c r="B184" s="5">
        <v>40615</v>
      </c>
      <c r="C184" s="6" t="s">
        <v>14</v>
      </c>
      <c r="D184" s="6" t="s">
        <v>26</v>
      </c>
      <c r="E184" s="6" t="s">
        <v>136</v>
      </c>
      <c r="F184" s="4">
        <v>13948.878386159167</v>
      </c>
    </row>
    <row r="185" spans="2:6" x14ac:dyDescent="0.25">
      <c r="B185" s="5">
        <v>40618</v>
      </c>
      <c r="C185" s="6" t="s">
        <v>5</v>
      </c>
      <c r="D185" s="6" t="s">
        <v>46</v>
      </c>
      <c r="E185" s="6" t="s">
        <v>21</v>
      </c>
      <c r="F185" s="4">
        <v>97161.032495401218</v>
      </c>
    </row>
    <row r="186" spans="2:6" x14ac:dyDescent="0.25">
      <c r="B186" s="5">
        <v>40618</v>
      </c>
      <c r="C186" s="6" t="s">
        <v>14</v>
      </c>
      <c r="D186" s="6" t="s">
        <v>23</v>
      </c>
      <c r="E186" s="6" t="s">
        <v>137</v>
      </c>
      <c r="F186" s="4">
        <v>86850.722663299588</v>
      </c>
    </row>
    <row r="187" spans="2:6" x14ac:dyDescent="0.25">
      <c r="B187" s="5">
        <v>40619</v>
      </c>
      <c r="C187" s="6" t="s">
        <v>5</v>
      </c>
      <c r="D187" s="6" t="s">
        <v>26</v>
      </c>
      <c r="E187" s="6" t="s">
        <v>117</v>
      </c>
      <c r="F187" s="4">
        <v>67292.248869811534</v>
      </c>
    </row>
    <row r="188" spans="2:6" x14ac:dyDescent="0.25">
      <c r="B188" s="5">
        <v>40624</v>
      </c>
      <c r="C188" s="6" t="s">
        <v>14</v>
      </c>
      <c r="D188" s="6" t="s">
        <v>35</v>
      </c>
      <c r="E188" s="6" t="s">
        <v>138</v>
      </c>
      <c r="F188" s="4">
        <v>75624.827808025526</v>
      </c>
    </row>
    <row r="189" spans="2:6" x14ac:dyDescent="0.25">
      <c r="B189" s="5">
        <v>40625</v>
      </c>
      <c r="C189" s="6" t="s">
        <v>8</v>
      </c>
      <c r="D189" s="6" t="s">
        <v>9</v>
      </c>
      <c r="E189" s="6" t="s">
        <v>66</v>
      </c>
      <c r="F189" s="4">
        <v>22956.009315095467</v>
      </c>
    </row>
    <row r="190" spans="2:6" x14ac:dyDescent="0.25">
      <c r="B190" s="5">
        <v>40628</v>
      </c>
      <c r="C190" s="6" t="s">
        <v>8</v>
      </c>
      <c r="D190" s="6" t="s">
        <v>35</v>
      </c>
      <c r="E190" s="6" t="s">
        <v>42</v>
      </c>
      <c r="F190" s="4">
        <v>35593.439319198871</v>
      </c>
    </row>
    <row r="191" spans="2:6" x14ac:dyDescent="0.25">
      <c r="B191" s="5">
        <v>40631</v>
      </c>
      <c r="C191" s="6" t="s">
        <v>5</v>
      </c>
      <c r="D191" s="6" t="s">
        <v>54</v>
      </c>
      <c r="E191" s="6" t="s">
        <v>139</v>
      </c>
      <c r="F191" s="4">
        <v>31845.301013380624</v>
      </c>
    </row>
    <row r="192" spans="2:6" x14ac:dyDescent="0.25">
      <c r="B192" s="5">
        <v>40639</v>
      </c>
      <c r="C192" s="6" t="s">
        <v>8</v>
      </c>
      <c r="D192" s="6" t="s">
        <v>6</v>
      </c>
      <c r="E192" s="6" t="s">
        <v>84</v>
      </c>
      <c r="F192" s="4">
        <v>59642.572616102298</v>
      </c>
    </row>
    <row r="193" spans="2:6" x14ac:dyDescent="0.25">
      <c r="B193" s="5">
        <v>40641</v>
      </c>
      <c r="C193" s="6" t="s">
        <v>14</v>
      </c>
      <c r="D193" s="6" t="s">
        <v>46</v>
      </c>
      <c r="E193" s="6" t="s">
        <v>140</v>
      </c>
      <c r="F193" s="4">
        <v>56007.182758757837</v>
      </c>
    </row>
    <row r="194" spans="2:6" x14ac:dyDescent="0.25">
      <c r="B194" s="5">
        <v>40641</v>
      </c>
      <c r="C194" s="6" t="s">
        <v>5</v>
      </c>
      <c r="D194" s="6" t="s">
        <v>35</v>
      </c>
      <c r="E194" s="6" t="s">
        <v>141</v>
      </c>
      <c r="F194" s="4">
        <v>37292.541231671705</v>
      </c>
    </row>
    <row r="195" spans="2:6" x14ac:dyDescent="0.25">
      <c r="B195" s="5">
        <v>40641</v>
      </c>
      <c r="C195" s="6" t="s">
        <v>5</v>
      </c>
      <c r="D195" s="6" t="s">
        <v>33</v>
      </c>
      <c r="E195" s="6" t="s">
        <v>109</v>
      </c>
      <c r="F195" s="4">
        <v>62403.083893992611</v>
      </c>
    </row>
    <row r="196" spans="2:6" x14ac:dyDescent="0.25">
      <c r="B196" s="5">
        <v>40644</v>
      </c>
      <c r="C196" s="6" t="s">
        <v>8</v>
      </c>
      <c r="D196" s="6" t="s">
        <v>35</v>
      </c>
      <c r="E196" s="6" t="s">
        <v>80</v>
      </c>
      <c r="F196" s="4">
        <v>63622.96738674416</v>
      </c>
    </row>
    <row r="197" spans="2:6" x14ac:dyDescent="0.25">
      <c r="B197" s="5">
        <v>40644</v>
      </c>
      <c r="C197" s="6" t="s">
        <v>5</v>
      </c>
      <c r="D197" s="6" t="s">
        <v>40</v>
      </c>
      <c r="E197" s="6" t="s">
        <v>142</v>
      </c>
      <c r="F197" s="4">
        <v>32320.646551026795</v>
      </c>
    </row>
    <row r="198" spans="2:6" x14ac:dyDescent="0.25">
      <c r="B198" s="5">
        <v>40646</v>
      </c>
      <c r="C198" s="6" t="s">
        <v>5</v>
      </c>
      <c r="D198" s="6" t="s">
        <v>12</v>
      </c>
      <c r="E198" s="6" t="s">
        <v>76</v>
      </c>
      <c r="F198" s="4">
        <v>19173.6526736257</v>
      </c>
    </row>
    <row r="199" spans="2:6" x14ac:dyDescent="0.25">
      <c r="B199" s="5">
        <v>40646</v>
      </c>
      <c r="C199" s="6" t="s">
        <v>5</v>
      </c>
      <c r="D199" s="6" t="s">
        <v>26</v>
      </c>
      <c r="E199" s="6" t="s">
        <v>55</v>
      </c>
      <c r="F199" s="4">
        <v>96096.737914012687</v>
      </c>
    </row>
    <row r="200" spans="2:6" x14ac:dyDescent="0.25">
      <c r="B200" s="5">
        <v>40647</v>
      </c>
      <c r="C200" s="6" t="s">
        <v>8</v>
      </c>
      <c r="D200" s="6" t="s">
        <v>33</v>
      </c>
      <c r="E200" s="6" t="s">
        <v>101</v>
      </c>
      <c r="F200" s="4">
        <v>97945.74119390281</v>
      </c>
    </row>
    <row r="201" spans="2:6" x14ac:dyDescent="0.25">
      <c r="B201" s="5">
        <v>40648</v>
      </c>
      <c r="C201" s="6" t="s">
        <v>8</v>
      </c>
      <c r="D201" s="6" t="s">
        <v>43</v>
      </c>
      <c r="E201" s="6" t="s">
        <v>57</v>
      </c>
      <c r="F201" s="4">
        <v>74932.120221399891</v>
      </c>
    </row>
    <row r="202" spans="2:6" x14ac:dyDescent="0.25">
      <c r="B202" s="5">
        <v>40653</v>
      </c>
      <c r="C202" s="6" t="s">
        <v>8</v>
      </c>
      <c r="D202" s="6" t="s">
        <v>43</v>
      </c>
      <c r="E202" s="6" t="s">
        <v>34</v>
      </c>
      <c r="F202" s="4">
        <v>44416.092378842681</v>
      </c>
    </row>
    <row r="203" spans="2:6" x14ac:dyDescent="0.25">
      <c r="B203" s="5">
        <v>40656</v>
      </c>
      <c r="C203" s="6" t="s">
        <v>5</v>
      </c>
      <c r="D203" s="6" t="s">
        <v>46</v>
      </c>
      <c r="E203" s="6" t="s">
        <v>134</v>
      </c>
      <c r="F203" s="4">
        <v>37988.012313997853</v>
      </c>
    </row>
    <row r="204" spans="2:6" x14ac:dyDescent="0.25">
      <c r="B204" s="5">
        <v>40668</v>
      </c>
      <c r="C204" s="6" t="s">
        <v>11</v>
      </c>
      <c r="D204" s="6" t="s">
        <v>12</v>
      </c>
      <c r="E204" s="6" t="s">
        <v>143</v>
      </c>
      <c r="F204" s="4">
        <v>47670.400710869966</v>
      </c>
    </row>
    <row r="205" spans="2:6" x14ac:dyDescent="0.25">
      <c r="B205" s="5">
        <v>40670</v>
      </c>
      <c r="C205" s="6" t="s">
        <v>14</v>
      </c>
      <c r="D205" s="6" t="s">
        <v>23</v>
      </c>
      <c r="E205" s="6" t="s">
        <v>144</v>
      </c>
      <c r="F205" s="4">
        <v>75736.170645004182</v>
      </c>
    </row>
    <row r="206" spans="2:6" x14ac:dyDescent="0.25">
      <c r="B206" s="5">
        <v>40671</v>
      </c>
      <c r="C206" s="6" t="s">
        <v>11</v>
      </c>
      <c r="D206" s="6" t="s">
        <v>15</v>
      </c>
      <c r="E206" s="6" t="s">
        <v>139</v>
      </c>
      <c r="F206" s="4">
        <v>19115.384518506191</v>
      </c>
    </row>
    <row r="207" spans="2:6" x14ac:dyDescent="0.25">
      <c r="B207" s="5">
        <v>40672</v>
      </c>
      <c r="C207" s="6" t="s">
        <v>14</v>
      </c>
      <c r="D207" s="6" t="s">
        <v>28</v>
      </c>
      <c r="E207" s="6" t="s">
        <v>99</v>
      </c>
      <c r="F207" s="4">
        <v>72130.962318798134</v>
      </c>
    </row>
    <row r="208" spans="2:6" x14ac:dyDescent="0.25">
      <c r="B208" s="5">
        <v>40672</v>
      </c>
      <c r="C208" s="6" t="s">
        <v>8</v>
      </c>
      <c r="D208" s="6" t="s">
        <v>18</v>
      </c>
      <c r="E208" s="6" t="s">
        <v>99</v>
      </c>
      <c r="F208" s="4">
        <v>77621.52602664796</v>
      </c>
    </row>
    <row r="209" spans="2:6" x14ac:dyDescent="0.25">
      <c r="B209" s="5">
        <v>40678</v>
      </c>
      <c r="C209" s="6" t="s">
        <v>8</v>
      </c>
      <c r="D209" s="6" t="s">
        <v>15</v>
      </c>
      <c r="E209" s="6" t="s">
        <v>145</v>
      </c>
      <c r="F209" s="4">
        <v>97074.108831912657</v>
      </c>
    </row>
    <row r="210" spans="2:6" x14ac:dyDescent="0.25">
      <c r="B210" s="5">
        <v>40679</v>
      </c>
      <c r="C210" s="6" t="s">
        <v>5</v>
      </c>
      <c r="D210" s="6" t="s">
        <v>18</v>
      </c>
      <c r="E210" s="6" t="s">
        <v>61</v>
      </c>
      <c r="F210" s="4">
        <v>87775.719880957098</v>
      </c>
    </row>
    <row r="211" spans="2:6" x14ac:dyDescent="0.25">
      <c r="B211" s="5">
        <v>40679</v>
      </c>
      <c r="C211" s="6" t="s">
        <v>5</v>
      </c>
      <c r="D211" s="6" t="s">
        <v>12</v>
      </c>
      <c r="E211" s="6" t="s">
        <v>146</v>
      </c>
      <c r="F211" s="4">
        <v>77705.112220939627</v>
      </c>
    </row>
    <row r="212" spans="2:6" x14ac:dyDescent="0.25">
      <c r="B212" s="5">
        <v>40684</v>
      </c>
      <c r="C212" s="6" t="s">
        <v>14</v>
      </c>
      <c r="D212" s="6" t="s">
        <v>9</v>
      </c>
      <c r="E212" s="6" t="s">
        <v>147</v>
      </c>
      <c r="F212" s="4">
        <v>25987.50581745298</v>
      </c>
    </row>
    <row r="213" spans="2:6" x14ac:dyDescent="0.25">
      <c r="B213" s="5">
        <v>40684</v>
      </c>
      <c r="C213" s="6" t="s">
        <v>11</v>
      </c>
      <c r="D213" s="6" t="s">
        <v>6</v>
      </c>
      <c r="E213" s="6" t="s">
        <v>148</v>
      </c>
      <c r="F213" s="4">
        <v>49655.570095801864</v>
      </c>
    </row>
    <row r="214" spans="2:6" x14ac:dyDescent="0.25">
      <c r="B214" s="5">
        <v>40686</v>
      </c>
      <c r="C214" s="6" t="s">
        <v>8</v>
      </c>
      <c r="D214" s="6" t="s">
        <v>28</v>
      </c>
      <c r="E214" s="6" t="s">
        <v>70</v>
      </c>
      <c r="F214" s="4">
        <v>69092.829416681125</v>
      </c>
    </row>
    <row r="215" spans="2:6" x14ac:dyDescent="0.25">
      <c r="B215" s="5">
        <v>40686</v>
      </c>
      <c r="C215" s="6" t="s">
        <v>5</v>
      </c>
      <c r="D215" s="6" t="s">
        <v>28</v>
      </c>
      <c r="E215" s="6" t="s">
        <v>149</v>
      </c>
      <c r="F215" s="4">
        <v>15109.324309828573</v>
      </c>
    </row>
    <row r="216" spans="2:6" x14ac:dyDescent="0.25">
      <c r="B216" s="5">
        <v>40690</v>
      </c>
      <c r="C216" s="6" t="s">
        <v>14</v>
      </c>
      <c r="D216" s="6" t="s">
        <v>12</v>
      </c>
      <c r="E216" s="6" t="s">
        <v>150</v>
      </c>
      <c r="F216" s="4">
        <v>31423.175635608099</v>
      </c>
    </row>
    <row r="217" spans="2:6" x14ac:dyDescent="0.25">
      <c r="B217" s="5">
        <v>40693</v>
      </c>
      <c r="C217" s="6" t="s">
        <v>8</v>
      </c>
      <c r="D217" s="6" t="s">
        <v>40</v>
      </c>
      <c r="E217" s="6" t="s">
        <v>83</v>
      </c>
      <c r="F217" s="4">
        <v>56101.574019023821</v>
      </c>
    </row>
    <row r="218" spans="2:6" x14ac:dyDescent="0.25">
      <c r="B218" s="5">
        <v>40696</v>
      </c>
      <c r="C218" s="6" t="s">
        <v>11</v>
      </c>
      <c r="D218" s="6" t="s">
        <v>20</v>
      </c>
      <c r="E218" s="6" t="s">
        <v>151</v>
      </c>
      <c r="F218" s="4">
        <v>50579.370729765928</v>
      </c>
    </row>
    <row r="219" spans="2:6" x14ac:dyDescent="0.25">
      <c r="B219" s="5">
        <v>40700</v>
      </c>
      <c r="C219" s="6" t="s">
        <v>5</v>
      </c>
      <c r="D219" s="6" t="s">
        <v>26</v>
      </c>
      <c r="E219" s="6" t="s">
        <v>152</v>
      </c>
      <c r="F219" s="4">
        <v>35873.40779193076</v>
      </c>
    </row>
    <row r="220" spans="2:6" x14ac:dyDescent="0.25">
      <c r="B220" s="5">
        <v>40702</v>
      </c>
      <c r="C220" s="6" t="s">
        <v>5</v>
      </c>
      <c r="D220" s="6" t="s">
        <v>46</v>
      </c>
      <c r="E220" s="6" t="s">
        <v>79</v>
      </c>
      <c r="F220" s="4">
        <v>38361.550744697051</v>
      </c>
    </row>
    <row r="221" spans="2:6" x14ac:dyDescent="0.25">
      <c r="B221" s="5">
        <v>40705</v>
      </c>
      <c r="C221" s="6" t="s">
        <v>11</v>
      </c>
      <c r="D221" s="6" t="s">
        <v>9</v>
      </c>
      <c r="E221" s="6" t="s">
        <v>140</v>
      </c>
      <c r="F221" s="4">
        <v>67828.040245063792</v>
      </c>
    </row>
    <row r="222" spans="2:6" x14ac:dyDescent="0.25">
      <c r="B222" s="5">
        <v>40708</v>
      </c>
      <c r="C222" s="6" t="s">
        <v>8</v>
      </c>
      <c r="D222" s="6" t="s">
        <v>9</v>
      </c>
      <c r="E222" s="6" t="s">
        <v>16</v>
      </c>
      <c r="F222" s="4">
        <v>57185.297313341027</v>
      </c>
    </row>
    <row r="223" spans="2:6" x14ac:dyDescent="0.25">
      <c r="B223" s="5">
        <v>40710</v>
      </c>
      <c r="C223" s="6" t="s">
        <v>8</v>
      </c>
      <c r="D223" s="6" t="s">
        <v>9</v>
      </c>
      <c r="E223" s="6" t="s">
        <v>114</v>
      </c>
      <c r="F223" s="4">
        <v>39649.309779210969</v>
      </c>
    </row>
    <row r="224" spans="2:6" x14ac:dyDescent="0.25">
      <c r="B224" s="5">
        <v>40715</v>
      </c>
      <c r="C224" s="6" t="s">
        <v>14</v>
      </c>
      <c r="D224" s="6" t="s">
        <v>20</v>
      </c>
      <c r="E224" s="6" t="s">
        <v>153</v>
      </c>
      <c r="F224" s="4">
        <v>11719.659137514198</v>
      </c>
    </row>
    <row r="225" spans="2:6" x14ac:dyDescent="0.25">
      <c r="B225" s="5">
        <v>40720</v>
      </c>
      <c r="C225" s="6" t="s">
        <v>8</v>
      </c>
      <c r="D225" s="6" t="s">
        <v>46</v>
      </c>
      <c r="E225" s="6" t="s">
        <v>128</v>
      </c>
      <c r="F225" s="4">
        <v>67595.99268315667</v>
      </c>
    </row>
    <row r="226" spans="2:6" x14ac:dyDescent="0.25">
      <c r="B226" s="5">
        <v>40723</v>
      </c>
      <c r="C226" s="6" t="s">
        <v>8</v>
      </c>
      <c r="D226" s="6" t="s">
        <v>43</v>
      </c>
      <c r="E226" s="6" t="s">
        <v>60</v>
      </c>
      <c r="F226" s="4">
        <v>64661.229680361495</v>
      </c>
    </row>
    <row r="227" spans="2:6" x14ac:dyDescent="0.25">
      <c r="B227" s="5">
        <v>40723</v>
      </c>
      <c r="C227" s="6" t="s">
        <v>8</v>
      </c>
      <c r="D227" s="6" t="s">
        <v>35</v>
      </c>
      <c r="E227" s="6" t="s">
        <v>98</v>
      </c>
      <c r="F227" s="4">
        <v>63500.107611455576</v>
      </c>
    </row>
    <row r="228" spans="2:6" x14ac:dyDescent="0.25">
      <c r="B228" s="5">
        <v>40725</v>
      </c>
      <c r="C228" s="6" t="s">
        <v>14</v>
      </c>
      <c r="D228" s="6" t="s">
        <v>54</v>
      </c>
      <c r="E228" s="6" t="s">
        <v>7</v>
      </c>
      <c r="F228" s="4">
        <v>18586.24053795647</v>
      </c>
    </row>
    <row r="229" spans="2:6" x14ac:dyDescent="0.25">
      <c r="B229" s="5">
        <v>40725</v>
      </c>
      <c r="C229" s="6" t="s">
        <v>5</v>
      </c>
      <c r="D229" s="6" t="s">
        <v>9</v>
      </c>
      <c r="E229" s="6" t="s">
        <v>154</v>
      </c>
      <c r="F229" s="4">
        <v>97189.048551096392</v>
      </c>
    </row>
    <row r="230" spans="2:6" x14ac:dyDescent="0.25">
      <c r="B230" s="5">
        <v>40728</v>
      </c>
      <c r="C230" s="6" t="s">
        <v>5</v>
      </c>
      <c r="D230" s="6" t="s">
        <v>35</v>
      </c>
      <c r="E230" s="6" t="s">
        <v>31</v>
      </c>
      <c r="F230" s="4">
        <v>33327.558911910928</v>
      </c>
    </row>
    <row r="231" spans="2:6" x14ac:dyDescent="0.25">
      <c r="B231" s="5">
        <v>40732</v>
      </c>
      <c r="C231" s="6" t="s">
        <v>5</v>
      </c>
      <c r="D231" s="6" t="s">
        <v>20</v>
      </c>
      <c r="E231" s="6" t="s">
        <v>143</v>
      </c>
      <c r="F231" s="4">
        <v>21044.210530288921</v>
      </c>
    </row>
    <row r="232" spans="2:6" x14ac:dyDescent="0.25">
      <c r="B232" s="5">
        <v>40742</v>
      </c>
      <c r="C232" s="6" t="s">
        <v>14</v>
      </c>
      <c r="D232" s="6" t="s">
        <v>15</v>
      </c>
      <c r="E232" s="6" t="s">
        <v>120</v>
      </c>
      <c r="F232" s="4">
        <v>10464.771914994501</v>
      </c>
    </row>
    <row r="233" spans="2:6" x14ac:dyDescent="0.25">
      <c r="B233" s="5">
        <v>40742</v>
      </c>
      <c r="C233" s="6" t="s">
        <v>5</v>
      </c>
      <c r="D233" s="6" t="s">
        <v>18</v>
      </c>
      <c r="E233" s="6" t="s">
        <v>104</v>
      </c>
      <c r="F233" s="4">
        <v>32984.861926165802</v>
      </c>
    </row>
    <row r="234" spans="2:6" x14ac:dyDescent="0.25">
      <c r="B234" s="5">
        <v>40744</v>
      </c>
      <c r="C234" s="6" t="s">
        <v>5</v>
      </c>
      <c r="D234" s="6" t="s">
        <v>54</v>
      </c>
      <c r="E234" s="6" t="s">
        <v>27</v>
      </c>
      <c r="F234" s="4">
        <v>21861.743239321848</v>
      </c>
    </row>
    <row r="235" spans="2:6" x14ac:dyDescent="0.25">
      <c r="B235" s="5">
        <v>40746</v>
      </c>
      <c r="C235" s="6" t="s">
        <v>5</v>
      </c>
      <c r="D235" s="6" t="s">
        <v>35</v>
      </c>
      <c r="E235" s="6" t="s">
        <v>84</v>
      </c>
      <c r="F235" s="4">
        <v>75905.650953979217</v>
      </c>
    </row>
    <row r="236" spans="2:6" x14ac:dyDescent="0.25">
      <c r="B236" s="5">
        <v>40746</v>
      </c>
      <c r="C236" s="6" t="s">
        <v>8</v>
      </c>
      <c r="D236" s="6" t="s">
        <v>54</v>
      </c>
      <c r="E236" s="6" t="s">
        <v>103</v>
      </c>
      <c r="F236" s="4">
        <v>33168.22899183679</v>
      </c>
    </row>
    <row r="237" spans="2:6" x14ac:dyDescent="0.25">
      <c r="B237" s="5">
        <v>40747</v>
      </c>
      <c r="C237" s="6" t="s">
        <v>5</v>
      </c>
      <c r="D237" s="6" t="s">
        <v>9</v>
      </c>
      <c r="E237" s="6" t="s">
        <v>58</v>
      </c>
      <c r="F237" s="4">
        <v>81369.25419622341</v>
      </c>
    </row>
    <row r="238" spans="2:6" x14ac:dyDescent="0.25">
      <c r="B238" s="5">
        <v>40749</v>
      </c>
      <c r="C238" s="6" t="s">
        <v>5</v>
      </c>
      <c r="D238" s="6" t="s">
        <v>33</v>
      </c>
      <c r="E238" s="6" t="s">
        <v>155</v>
      </c>
      <c r="F238" s="4">
        <v>99080.827127632743</v>
      </c>
    </row>
    <row r="239" spans="2:6" x14ac:dyDescent="0.25">
      <c r="B239" s="5">
        <v>40751</v>
      </c>
      <c r="C239" s="6" t="s">
        <v>8</v>
      </c>
      <c r="D239" s="6" t="s">
        <v>33</v>
      </c>
      <c r="E239" s="6" t="s">
        <v>25</v>
      </c>
      <c r="F239" s="4">
        <v>77057.305816263906</v>
      </c>
    </row>
    <row r="240" spans="2:6" x14ac:dyDescent="0.25">
      <c r="B240" s="5">
        <v>40751</v>
      </c>
      <c r="C240" s="6" t="s">
        <v>5</v>
      </c>
      <c r="D240" s="6" t="s">
        <v>9</v>
      </c>
      <c r="E240" s="6" t="s">
        <v>156</v>
      </c>
      <c r="F240" s="4">
        <v>93293.128179705251</v>
      </c>
    </row>
    <row r="241" spans="2:6" x14ac:dyDescent="0.25">
      <c r="B241" s="5">
        <v>40755</v>
      </c>
      <c r="C241" s="6" t="s">
        <v>8</v>
      </c>
      <c r="D241" s="6" t="s">
        <v>54</v>
      </c>
      <c r="E241" s="6" t="s">
        <v>104</v>
      </c>
      <c r="F241" s="4">
        <v>89649.371841781307</v>
      </c>
    </row>
    <row r="242" spans="2:6" x14ac:dyDescent="0.25">
      <c r="B242" s="5">
        <v>40756</v>
      </c>
      <c r="C242" s="6" t="s">
        <v>5</v>
      </c>
      <c r="D242" s="6" t="s">
        <v>54</v>
      </c>
      <c r="E242" s="6" t="s">
        <v>66</v>
      </c>
      <c r="F242" s="4">
        <v>77474.779058159053</v>
      </c>
    </row>
    <row r="243" spans="2:6" x14ac:dyDescent="0.25">
      <c r="B243" s="5">
        <v>40759</v>
      </c>
      <c r="C243" s="6" t="s">
        <v>11</v>
      </c>
      <c r="D243" s="6" t="s">
        <v>33</v>
      </c>
      <c r="E243" s="6" t="s">
        <v>157</v>
      </c>
      <c r="F243" s="4">
        <v>12183.066326397557</v>
      </c>
    </row>
    <row r="244" spans="2:6" x14ac:dyDescent="0.25">
      <c r="B244" s="5">
        <v>40759</v>
      </c>
      <c r="C244" s="6" t="s">
        <v>14</v>
      </c>
      <c r="D244" s="6" t="s">
        <v>15</v>
      </c>
      <c r="E244" s="6" t="s">
        <v>158</v>
      </c>
      <c r="F244" s="4">
        <v>57726.03227523758</v>
      </c>
    </row>
    <row r="245" spans="2:6" x14ac:dyDescent="0.25">
      <c r="B245" s="5">
        <v>40760</v>
      </c>
      <c r="C245" s="6" t="s">
        <v>5</v>
      </c>
      <c r="D245" s="6" t="s">
        <v>40</v>
      </c>
      <c r="E245" s="6" t="s">
        <v>36</v>
      </c>
      <c r="F245" s="4">
        <v>27834.336934766568</v>
      </c>
    </row>
    <row r="246" spans="2:6" x14ac:dyDescent="0.25">
      <c r="B246" s="5">
        <v>40769</v>
      </c>
      <c r="C246" s="6" t="s">
        <v>11</v>
      </c>
      <c r="D246" s="6" t="s">
        <v>26</v>
      </c>
      <c r="E246" s="6" t="s">
        <v>86</v>
      </c>
      <c r="F246" s="4">
        <v>35252.863044831036</v>
      </c>
    </row>
    <row r="247" spans="2:6" x14ac:dyDescent="0.25">
      <c r="B247" s="5">
        <v>40773</v>
      </c>
      <c r="C247" s="6" t="s">
        <v>5</v>
      </c>
      <c r="D247" s="6" t="s">
        <v>18</v>
      </c>
      <c r="E247" s="6" t="s">
        <v>37</v>
      </c>
      <c r="F247" s="4">
        <v>95374.182463928111</v>
      </c>
    </row>
    <row r="248" spans="2:6" x14ac:dyDescent="0.25">
      <c r="B248" s="5">
        <v>40776</v>
      </c>
      <c r="C248" s="6" t="s">
        <v>5</v>
      </c>
      <c r="D248" s="6" t="s">
        <v>35</v>
      </c>
      <c r="E248" s="6" t="s">
        <v>96</v>
      </c>
      <c r="F248" s="4">
        <v>61958.08141197548</v>
      </c>
    </row>
    <row r="249" spans="2:6" x14ac:dyDescent="0.25">
      <c r="B249" s="5">
        <v>40788</v>
      </c>
      <c r="C249" s="6" t="s">
        <v>5</v>
      </c>
      <c r="D249" s="6" t="s">
        <v>15</v>
      </c>
      <c r="E249" s="6" t="s">
        <v>86</v>
      </c>
      <c r="F249" s="4">
        <v>70140.426953725211</v>
      </c>
    </row>
    <row r="250" spans="2:6" x14ac:dyDescent="0.25">
      <c r="B250" s="5">
        <v>40788</v>
      </c>
      <c r="C250" s="6" t="s">
        <v>5</v>
      </c>
      <c r="D250" s="6" t="s">
        <v>54</v>
      </c>
      <c r="E250" s="6" t="s">
        <v>119</v>
      </c>
      <c r="F250" s="4">
        <v>77472.831798085521</v>
      </c>
    </row>
    <row r="251" spans="2:6" x14ac:dyDescent="0.25">
      <c r="B251" s="5">
        <v>40790</v>
      </c>
      <c r="C251" s="6" t="s">
        <v>5</v>
      </c>
      <c r="D251" s="6" t="s">
        <v>20</v>
      </c>
      <c r="E251" s="6" t="s">
        <v>51</v>
      </c>
      <c r="F251" s="4">
        <v>33556.492109054176</v>
      </c>
    </row>
    <row r="252" spans="2:6" x14ac:dyDescent="0.25">
      <c r="B252" s="5">
        <v>40792</v>
      </c>
      <c r="C252" s="6" t="s">
        <v>8</v>
      </c>
      <c r="D252" s="6" t="s">
        <v>40</v>
      </c>
      <c r="E252" s="6" t="s">
        <v>47</v>
      </c>
      <c r="F252" s="4">
        <v>40032.981985722094</v>
      </c>
    </row>
    <row r="253" spans="2:6" x14ac:dyDescent="0.25">
      <c r="B253" s="5">
        <v>40793</v>
      </c>
      <c r="C253" s="6" t="s">
        <v>5</v>
      </c>
      <c r="D253" s="6" t="s">
        <v>40</v>
      </c>
      <c r="E253" s="6" t="s">
        <v>34</v>
      </c>
      <c r="F253" s="4">
        <v>49050.353131591168</v>
      </c>
    </row>
    <row r="254" spans="2:6" x14ac:dyDescent="0.25">
      <c r="B254" s="5">
        <v>40795</v>
      </c>
      <c r="C254" s="6" t="s">
        <v>14</v>
      </c>
      <c r="D254" s="6" t="s">
        <v>35</v>
      </c>
      <c r="E254" s="6" t="s">
        <v>27</v>
      </c>
      <c r="F254" s="4">
        <v>93867.733119912024</v>
      </c>
    </row>
    <row r="255" spans="2:6" x14ac:dyDescent="0.25">
      <c r="B255" s="5">
        <v>40797</v>
      </c>
      <c r="C255" s="6" t="s">
        <v>14</v>
      </c>
      <c r="D255" s="6" t="s">
        <v>12</v>
      </c>
      <c r="E255" s="6" t="s">
        <v>157</v>
      </c>
      <c r="F255" s="4">
        <v>13376.08950966995</v>
      </c>
    </row>
    <row r="256" spans="2:6" x14ac:dyDescent="0.25">
      <c r="B256" s="5">
        <v>40798</v>
      </c>
      <c r="C256" s="6" t="s">
        <v>5</v>
      </c>
      <c r="D256" s="6" t="s">
        <v>26</v>
      </c>
      <c r="E256" s="6" t="s">
        <v>159</v>
      </c>
      <c r="F256" s="4">
        <v>85392.895762181273</v>
      </c>
    </row>
    <row r="257" spans="2:6" x14ac:dyDescent="0.25">
      <c r="B257" s="5">
        <v>40798</v>
      </c>
      <c r="C257" s="6" t="s">
        <v>8</v>
      </c>
      <c r="D257" s="6" t="s">
        <v>43</v>
      </c>
      <c r="E257" s="6" t="s">
        <v>105</v>
      </c>
      <c r="F257" s="4">
        <v>48437.763836368737</v>
      </c>
    </row>
    <row r="258" spans="2:6" x14ac:dyDescent="0.25">
      <c r="B258" s="5">
        <v>40801</v>
      </c>
      <c r="C258" s="6" t="s">
        <v>5</v>
      </c>
      <c r="D258" s="6" t="s">
        <v>20</v>
      </c>
      <c r="E258" s="6" t="s">
        <v>125</v>
      </c>
      <c r="F258" s="4">
        <v>60425.074910091782</v>
      </c>
    </row>
    <row r="259" spans="2:6" x14ac:dyDescent="0.25">
      <c r="B259" s="5">
        <v>40804</v>
      </c>
      <c r="C259" s="6" t="s">
        <v>5</v>
      </c>
      <c r="D259" s="6" t="s">
        <v>15</v>
      </c>
      <c r="E259" s="6" t="s">
        <v>79</v>
      </c>
      <c r="F259" s="4">
        <v>74141.624364135962</v>
      </c>
    </row>
    <row r="260" spans="2:6" x14ac:dyDescent="0.25">
      <c r="B260" s="5">
        <v>40806</v>
      </c>
      <c r="C260" s="6" t="s">
        <v>5</v>
      </c>
      <c r="D260" s="6" t="s">
        <v>35</v>
      </c>
      <c r="E260" s="6" t="s">
        <v>45</v>
      </c>
      <c r="F260" s="4">
        <v>46455.931079006776</v>
      </c>
    </row>
    <row r="261" spans="2:6" x14ac:dyDescent="0.25">
      <c r="B261" s="5">
        <v>40814</v>
      </c>
      <c r="C261" s="6" t="s">
        <v>5</v>
      </c>
      <c r="D261" s="6" t="s">
        <v>46</v>
      </c>
      <c r="E261" s="6" t="s">
        <v>17</v>
      </c>
      <c r="F261" s="4">
        <v>21714.614513481149</v>
      </c>
    </row>
    <row r="262" spans="2:6" x14ac:dyDescent="0.25">
      <c r="B262" s="5">
        <v>40816</v>
      </c>
      <c r="C262" s="6" t="s">
        <v>14</v>
      </c>
      <c r="D262" s="6" t="s">
        <v>20</v>
      </c>
      <c r="E262" s="6" t="s">
        <v>160</v>
      </c>
      <c r="F262" s="4">
        <v>42615.138668771251</v>
      </c>
    </row>
    <row r="263" spans="2:6" x14ac:dyDescent="0.25">
      <c r="B263" s="5">
        <v>40817</v>
      </c>
      <c r="C263" s="6" t="s">
        <v>8</v>
      </c>
      <c r="D263" s="6" t="s">
        <v>28</v>
      </c>
      <c r="E263" s="6" t="s">
        <v>68</v>
      </c>
      <c r="F263" s="4">
        <v>46231.216990569847</v>
      </c>
    </row>
    <row r="264" spans="2:6" x14ac:dyDescent="0.25">
      <c r="B264" s="5">
        <v>40819</v>
      </c>
      <c r="C264" s="6" t="s">
        <v>14</v>
      </c>
      <c r="D264" s="6" t="s">
        <v>35</v>
      </c>
      <c r="E264" s="6" t="s">
        <v>158</v>
      </c>
      <c r="F264" s="4">
        <v>78673.087310812189</v>
      </c>
    </row>
    <row r="265" spans="2:6" x14ac:dyDescent="0.25">
      <c r="B265" s="5">
        <v>40822</v>
      </c>
      <c r="C265" s="6" t="s">
        <v>5</v>
      </c>
      <c r="D265" s="6" t="s">
        <v>20</v>
      </c>
      <c r="E265" s="6" t="s">
        <v>75</v>
      </c>
      <c r="F265" s="4">
        <v>68737.5006883038</v>
      </c>
    </row>
    <row r="266" spans="2:6" x14ac:dyDescent="0.25">
      <c r="B266" s="5">
        <v>40826</v>
      </c>
      <c r="C266" s="6" t="s">
        <v>11</v>
      </c>
      <c r="D266" s="6" t="s">
        <v>9</v>
      </c>
      <c r="E266" s="6" t="s">
        <v>128</v>
      </c>
      <c r="F266" s="4">
        <v>47758.381290638565</v>
      </c>
    </row>
    <row r="267" spans="2:6" x14ac:dyDescent="0.25">
      <c r="B267" s="5">
        <v>40843</v>
      </c>
      <c r="C267" s="6" t="s">
        <v>5</v>
      </c>
      <c r="D267" s="6" t="s">
        <v>54</v>
      </c>
      <c r="E267" s="6" t="s">
        <v>103</v>
      </c>
      <c r="F267" s="4">
        <v>73263.368054899431</v>
      </c>
    </row>
    <row r="268" spans="2:6" x14ac:dyDescent="0.25">
      <c r="B268" s="5">
        <v>40845</v>
      </c>
      <c r="C268" s="6" t="s">
        <v>5</v>
      </c>
      <c r="D268" s="6" t="s">
        <v>35</v>
      </c>
      <c r="E268" s="6" t="s">
        <v>66</v>
      </c>
      <c r="F268" s="4">
        <v>20327.589576940583</v>
      </c>
    </row>
    <row r="269" spans="2:6" x14ac:dyDescent="0.25">
      <c r="B269" s="5">
        <v>40846</v>
      </c>
      <c r="C269" s="6" t="s">
        <v>5</v>
      </c>
      <c r="D269" s="6" t="s">
        <v>12</v>
      </c>
      <c r="E269" s="6" t="s">
        <v>126</v>
      </c>
      <c r="F269" s="4">
        <v>60935.781088832977</v>
      </c>
    </row>
    <row r="270" spans="2:6" x14ac:dyDescent="0.25">
      <c r="B270" s="5">
        <v>40846</v>
      </c>
      <c r="C270" s="6" t="s">
        <v>8</v>
      </c>
      <c r="D270" s="6" t="s">
        <v>54</v>
      </c>
      <c r="E270" s="6" t="s">
        <v>19</v>
      </c>
      <c r="F270" s="4">
        <v>77924.067757960947</v>
      </c>
    </row>
    <row r="271" spans="2:6" x14ac:dyDescent="0.25">
      <c r="B271" s="5">
        <v>40849</v>
      </c>
      <c r="C271" s="6" t="s">
        <v>14</v>
      </c>
      <c r="D271" s="6" t="s">
        <v>9</v>
      </c>
      <c r="E271" s="6" t="s">
        <v>50</v>
      </c>
      <c r="F271" s="4">
        <v>71474.023193044326</v>
      </c>
    </row>
    <row r="272" spans="2:6" x14ac:dyDescent="0.25">
      <c r="B272" s="5">
        <v>40853</v>
      </c>
      <c r="C272" s="6" t="s">
        <v>8</v>
      </c>
      <c r="D272" s="6" t="s">
        <v>54</v>
      </c>
      <c r="E272" s="6" t="s">
        <v>161</v>
      </c>
      <c r="F272" s="4">
        <v>23585.91653982826</v>
      </c>
    </row>
    <row r="273" spans="2:6" x14ac:dyDescent="0.25">
      <c r="B273" s="5">
        <v>40857</v>
      </c>
      <c r="C273" s="6" t="s">
        <v>8</v>
      </c>
      <c r="D273" s="6" t="s">
        <v>46</v>
      </c>
      <c r="E273" s="6" t="s">
        <v>140</v>
      </c>
      <c r="F273" s="4">
        <v>55260.156438049897</v>
      </c>
    </row>
    <row r="274" spans="2:6" x14ac:dyDescent="0.25">
      <c r="B274" s="5">
        <v>40859</v>
      </c>
      <c r="C274" s="6" t="s">
        <v>11</v>
      </c>
      <c r="D274" s="6" t="s">
        <v>20</v>
      </c>
      <c r="E274" s="6" t="s">
        <v>159</v>
      </c>
      <c r="F274" s="4">
        <v>99570.687975354216</v>
      </c>
    </row>
    <row r="275" spans="2:6" x14ac:dyDescent="0.25">
      <c r="B275" s="5">
        <v>40880</v>
      </c>
      <c r="C275" s="6" t="s">
        <v>5</v>
      </c>
      <c r="D275" s="6" t="s">
        <v>12</v>
      </c>
      <c r="E275" s="6" t="s">
        <v>62</v>
      </c>
      <c r="F275" s="4">
        <v>41906.321088810982</v>
      </c>
    </row>
    <row r="276" spans="2:6" x14ac:dyDescent="0.25">
      <c r="B276" s="5">
        <v>40881</v>
      </c>
      <c r="C276" s="6" t="s">
        <v>11</v>
      </c>
      <c r="D276" s="6" t="s">
        <v>35</v>
      </c>
      <c r="E276" s="6" t="s">
        <v>162</v>
      </c>
      <c r="F276" s="4">
        <v>24044.987029128064</v>
      </c>
    </row>
    <row r="277" spans="2:6" x14ac:dyDescent="0.25">
      <c r="B277" s="5">
        <v>40884</v>
      </c>
      <c r="C277" s="6" t="s">
        <v>5</v>
      </c>
      <c r="D277" s="6" t="s">
        <v>6</v>
      </c>
      <c r="E277" s="6" t="s">
        <v>122</v>
      </c>
      <c r="F277" s="4">
        <v>69203.571007692153</v>
      </c>
    </row>
    <row r="278" spans="2:6" x14ac:dyDescent="0.25">
      <c r="B278" s="5">
        <v>40885</v>
      </c>
      <c r="C278" s="6" t="s">
        <v>8</v>
      </c>
      <c r="D278" s="6" t="s">
        <v>6</v>
      </c>
      <c r="E278" s="6" t="s">
        <v>163</v>
      </c>
      <c r="F278" s="4">
        <v>36917.37524530237</v>
      </c>
    </row>
    <row r="279" spans="2:6" x14ac:dyDescent="0.25">
      <c r="B279" s="5">
        <v>40887</v>
      </c>
      <c r="C279" s="6" t="s">
        <v>5</v>
      </c>
      <c r="D279" s="6" t="s">
        <v>6</v>
      </c>
      <c r="E279" s="6" t="s">
        <v>135</v>
      </c>
      <c r="F279" s="4">
        <v>85073.441039004741</v>
      </c>
    </row>
    <row r="280" spans="2:6" x14ac:dyDescent="0.25">
      <c r="B280" s="5">
        <v>40890</v>
      </c>
      <c r="C280" s="6" t="s">
        <v>5</v>
      </c>
      <c r="D280" s="6" t="s">
        <v>6</v>
      </c>
      <c r="E280" s="6" t="s">
        <v>101</v>
      </c>
      <c r="F280" s="4">
        <v>75620.79159340958</v>
      </c>
    </row>
    <row r="281" spans="2:6" x14ac:dyDescent="0.25">
      <c r="B281" s="5">
        <v>40891</v>
      </c>
      <c r="C281" s="6" t="s">
        <v>5</v>
      </c>
      <c r="D281" s="6" t="s">
        <v>43</v>
      </c>
      <c r="E281" s="6" t="s">
        <v>78</v>
      </c>
      <c r="F281" s="4">
        <v>89726.682295745311</v>
      </c>
    </row>
    <row r="282" spans="2:6" x14ac:dyDescent="0.25">
      <c r="B282" s="5">
        <v>40892</v>
      </c>
      <c r="C282" s="6" t="s">
        <v>11</v>
      </c>
      <c r="D282" s="6" t="s">
        <v>33</v>
      </c>
      <c r="E282" s="6" t="s">
        <v>109</v>
      </c>
      <c r="F282" s="4">
        <v>47468.101939305066</v>
      </c>
    </row>
    <row r="283" spans="2:6" x14ac:dyDescent="0.25">
      <c r="B283" s="5">
        <v>40894</v>
      </c>
      <c r="C283" s="6" t="s">
        <v>8</v>
      </c>
      <c r="D283" s="6" t="s">
        <v>46</v>
      </c>
      <c r="E283" s="6" t="s">
        <v>88</v>
      </c>
      <c r="F283" s="4">
        <v>83721.937005241343</v>
      </c>
    </row>
    <row r="284" spans="2:6" x14ac:dyDescent="0.25">
      <c r="B284" s="5">
        <v>40895</v>
      </c>
      <c r="C284" s="6" t="s">
        <v>5</v>
      </c>
      <c r="D284" s="6" t="s">
        <v>12</v>
      </c>
      <c r="E284" s="6" t="s">
        <v>78</v>
      </c>
      <c r="F284" s="4">
        <v>56274.775603286231</v>
      </c>
    </row>
    <row r="285" spans="2:6" x14ac:dyDescent="0.25">
      <c r="B285" s="5">
        <v>40898</v>
      </c>
      <c r="C285" s="6" t="s">
        <v>8</v>
      </c>
      <c r="D285" s="6" t="s">
        <v>40</v>
      </c>
      <c r="E285" s="6" t="s">
        <v>164</v>
      </c>
      <c r="F285" s="4">
        <v>16197.087894943628</v>
      </c>
    </row>
    <row r="286" spans="2:6" x14ac:dyDescent="0.25">
      <c r="B286" s="5">
        <v>40898</v>
      </c>
      <c r="C286" s="6" t="s">
        <v>5</v>
      </c>
      <c r="D286" s="6" t="s">
        <v>43</v>
      </c>
      <c r="E286" s="6" t="s">
        <v>117</v>
      </c>
      <c r="F286" s="4">
        <v>10291.275234948193</v>
      </c>
    </row>
    <row r="287" spans="2:6" x14ac:dyDescent="0.25">
      <c r="B287" s="5">
        <v>40900</v>
      </c>
      <c r="C287" s="6" t="s">
        <v>5</v>
      </c>
      <c r="D287" s="6" t="s">
        <v>28</v>
      </c>
      <c r="E287" s="6" t="s">
        <v>115</v>
      </c>
      <c r="F287" s="4">
        <v>40525.407844806978</v>
      </c>
    </row>
    <row r="288" spans="2:6" x14ac:dyDescent="0.25">
      <c r="B288" s="5">
        <v>40901</v>
      </c>
      <c r="C288" s="6" t="s">
        <v>8</v>
      </c>
      <c r="D288" s="6" t="s">
        <v>15</v>
      </c>
      <c r="E288" s="6" t="s">
        <v>30</v>
      </c>
      <c r="F288" s="4">
        <v>46807.716162720797</v>
      </c>
    </row>
    <row r="289" spans="2:6" x14ac:dyDescent="0.25">
      <c r="B289" s="5">
        <v>40902</v>
      </c>
      <c r="C289" s="6" t="s">
        <v>14</v>
      </c>
      <c r="D289" s="6" t="s">
        <v>54</v>
      </c>
      <c r="E289" s="6" t="s">
        <v>165</v>
      </c>
      <c r="F289" s="4">
        <v>47883.434187097373</v>
      </c>
    </row>
    <row r="290" spans="2:6" x14ac:dyDescent="0.25">
      <c r="B290" s="5">
        <v>40902</v>
      </c>
      <c r="C290" s="6" t="s">
        <v>5</v>
      </c>
      <c r="D290" s="6" t="s">
        <v>9</v>
      </c>
      <c r="E290" s="6" t="s">
        <v>158</v>
      </c>
      <c r="F290" s="4">
        <v>67326.918589949142</v>
      </c>
    </row>
    <row r="291" spans="2:6" x14ac:dyDescent="0.25">
      <c r="B291" s="5">
        <v>40903</v>
      </c>
      <c r="C291" s="6" t="s">
        <v>14</v>
      </c>
      <c r="D291" s="6" t="s">
        <v>9</v>
      </c>
      <c r="E291" s="6" t="s">
        <v>122</v>
      </c>
      <c r="F291" s="4">
        <v>58722.132996060333</v>
      </c>
    </row>
    <row r="292" spans="2:6" x14ac:dyDescent="0.25">
      <c r="B292" s="5">
        <v>40907</v>
      </c>
      <c r="C292" s="6" t="s">
        <v>5</v>
      </c>
      <c r="D292" s="6" t="s">
        <v>20</v>
      </c>
      <c r="E292" s="6" t="s">
        <v>58</v>
      </c>
      <c r="F292" s="4">
        <v>97817.403564187174</v>
      </c>
    </row>
    <row r="293" spans="2:6" x14ac:dyDescent="0.25">
      <c r="B293" s="5">
        <v>40908</v>
      </c>
      <c r="C293" s="6" t="s">
        <v>5</v>
      </c>
      <c r="D293" s="6" t="s">
        <v>40</v>
      </c>
      <c r="E293" s="6" t="s">
        <v>17</v>
      </c>
      <c r="F293" s="4">
        <v>81996.436411548246</v>
      </c>
    </row>
    <row r="294" spans="2:6" x14ac:dyDescent="0.25">
      <c r="B294" s="5">
        <v>40912</v>
      </c>
      <c r="C294" s="6" t="s">
        <v>11</v>
      </c>
      <c r="D294" s="6" t="s">
        <v>46</v>
      </c>
      <c r="E294" s="6" t="s">
        <v>166</v>
      </c>
      <c r="F294" s="4">
        <v>74984.879897115869</v>
      </c>
    </row>
    <row r="295" spans="2:6" x14ac:dyDescent="0.25">
      <c r="B295" s="5">
        <v>40913</v>
      </c>
      <c r="C295" s="6" t="s">
        <v>14</v>
      </c>
      <c r="D295" s="6" t="s">
        <v>15</v>
      </c>
      <c r="E295" s="6" t="s">
        <v>48</v>
      </c>
      <c r="F295" s="4">
        <v>98806.053436157541</v>
      </c>
    </row>
    <row r="296" spans="2:6" x14ac:dyDescent="0.25">
      <c r="B296" s="5">
        <v>40919</v>
      </c>
      <c r="C296" s="6" t="s">
        <v>14</v>
      </c>
      <c r="D296" s="6" t="s">
        <v>40</v>
      </c>
      <c r="E296" s="6" t="s">
        <v>142</v>
      </c>
      <c r="F296" s="4">
        <v>63189.55545379487</v>
      </c>
    </row>
    <row r="297" spans="2:6" x14ac:dyDescent="0.25">
      <c r="B297" s="5">
        <v>40920</v>
      </c>
      <c r="C297" s="6" t="s">
        <v>5</v>
      </c>
      <c r="D297" s="6" t="s">
        <v>54</v>
      </c>
      <c r="E297" s="6" t="s">
        <v>47</v>
      </c>
      <c r="F297" s="4">
        <v>64218.624827764426</v>
      </c>
    </row>
    <row r="298" spans="2:6" x14ac:dyDescent="0.25">
      <c r="B298" s="5">
        <v>40927</v>
      </c>
      <c r="C298" s="6" t="s">
        <v>5</v>
      </c>
      <c r="D298" s="6" t="s">
        <v>26</v>
      </c>
      <c r="E298" s="6" t="s">
        <v>91</v>
      </c>
      <c r="F298" s="4">
        <v>16792.268142793273</v>
      </c>
    </row>
    <row r="299" spans="2:6" x14ac:dyDescent="0.25">
      <c r="B299" s="5">
        <v>40928</v>
      </c>
      <c r="C299" s="6" t="s">
        <v>5</v>
      </c>
      <c r="D299" s="6" t="s">
        <v>28</v>
      </c>
      <c r="E299" s="6" t="s">
        <v>128</v>
      </c>
      <c r="F299" s="4">
        <v>33453.51259810746</v>
      </c>
    </row>
    <row r="300" spans="2:6" x14ac:dyDescent="0.25">
      <c r="B300" s="5">
        <v>40929</v>
      </c>
      <c r="C300" s="6" t="s">
        <v>11</v>
      </c>
      <c r="D300" s="6" t="s">
        <v>6</v>
      </c>
      <c r="E300" s="6" t="s">
        <v>167</v>
      </c>
      <c r="F300" s="4">
        <v>65329.389457176258</v>
      </c>
    </row>
    <row r="301" spans="2:6" x14ac:dyDescent="0.25">
      <c r="B301" s="5">
        <v>40931</v>
      </c>
      <c r="C301" s="6" t="s">
        <v>5</v>
      </c>
      <c r="D301" s="6" t="s">
        <v>18</v>
      </c>
      <c r="E301" s="6" t="s">
        <v>79</v>
      </c>
      <c r="F301" s="4">
        <v>66120.414752594559</v>
      </c>
    </row>
    <row r="302" spans="2:6" x14ac:dyDescent="0.25">
      <c r="B302" s="5">
        <v>40936</v>
      </c>
      <c r="C302" s="6" t="s">
        <v>14</v>
      </c>
      <c r="D302" s="6" t="s">
        <v>26</v>
      </c>
      <c r="E302" s="6" t="s">
        <v>112</v>
      </c>
      <c r="F302" s="4">
        <v>76563.083754406078</v>
      </c>
    </row>
    <row r="303" spans="2:6" x14ac:dyDescent="0.25">
      <c r="B303" s="5">
        <v>40937</v>
      </c>
      <c r="C303" s="6" t="s">
        <v>8</v>
      </c>
      <c r="D303" s="6" t="s">
        <v>35</v>
      </c>
      <c r="E303" s="6" t="s">
        <v>96</v>
      </c>
      <c r="F303" s="4">
        <v>39463.462932706367</v>
      </c>
    </row>
    <row r="304" spans="2:6" x14ac:dyDescent="0.25">
      <c r="B304" s="5">
        <v>40937</v>
      </c>
      <c r="C304" s="6" t="s">
        <v>8</v>
      </c>
      <c r="D304" s="6" t="s">
        <v>12</v>
      </c>
      <c r="E304" s="6" t="s">
        <v>101</v>
      </c>
      <c r="F304" s="4">
        <v>36961.190033712657</v>
      </c>
    </row>
    <row r="305" spans="2:6" x14ac:dyDescent="0.25">
      <c r="B305" s="5">
        <v>40938</v>
      </c>
      <c r="C305" s="6" t="s">
        <v>8</v>
      </c>
      <c r="D305" s="6" t="s">
        <v>43</v>
      </c>
      <c r="E305" s="6" t="s">
        <v>92</v>
      </c>
      <c r="F305" s="4">
        <v>63161.967857921227</v>
      </c>
    </row>
    <row r="306" spans="2:6" x14ac:dyDescent="0.25">
      <c r="B306" s="5">
        <v>40939</v>
      </c>
      <c r="C306" s="6" t="s">
        <v>8</v>
      </c>
      <c r="D306" s="6" t="s">
        <v>9</v>
      </c>
      <c r="E306" s="6" t="s">
        <v>168</v>
      </c>
      <c r="F306" s="4">
        <v>43879.159080022197</v>
      </c>
    </row>
    <row r="307" spans="2:6" x14ac:dyDescent="0.25">
      <c r="B307" s="5">
        <v>40940</v>
      </c>
      <c r="C307" s="6" t="s">
        <v>5</v>
      </c>
      <c r="D307" s="6" t="s">
        <v>43</v>
      </c>
      <c r="E307" s="6" t="s">
        <v>52</v>
      </c>
      <c r="F307" s="4">
        <v>95493.410744750727</v>
      </c>
    </row>
    <row r="308" spans="2:6" x14ac:dyDescent="0.25">
      <c r="B308" s="5">
        <v>40940</v>
      </c>
      <c r="C308" s="6" t="s">
        <v>14</v>
      </c>
      <c r="D308" s="6" t="s">
        <v>18</v>
      </c>
      <c r="E308" s="6" t="s">
        <v>79</v>
      </c>
      <c r="F308" s="4">
        <v>92200.858196657093</v>
      </c>
    </row>
    <row r="309" spans="2:6" x14ac:dyDescent="0.25">
      <c r="B309" s="5">
        <v>40942</v>
      </c>
      <c r="C309" s="6" t="s">
        <v>5</v>
      </c>
      <c r="D309" s="6" t="s">
        <v>26</v>
      </c>
      <c r="E309" s="6" t="s">
        <v>145</v>
      </c>
      <c r="F309" s="4">
        <v>25556.635701640436</v>
      </c>
    </row>
    <row r="310" spans="2:6" x14ac:dyDescent="0.25">
      <c r="B310" s="5">
        <v>40942</v>
      </c>
      <c r="C310" s="6" t="s">
        <v>11</v>
      </c>
      <c r="D310" s="6" t="s">
        <v>28</v>
      </c>
      <c r="E310" s="6" t="s">
        <v>49</v>
      </c>
      <c r="F310" s="4">
        <v>69053.951460318014</v>
      </c>
    </row>
    <row r="311" spans="2:6" x14ac:dyDescent="0.25">
      <c r="B311" s="5">
        <v>40943</v>
      </c>
      <c r="C311" s="6" t="s">
        <v>5</v>
      </c>
      <c r="D311" s="6" t="s">
        <v>43</v>
      </c>
      <c r="E311" s="6" t="s">
        <v>169</v>
      </c>
      <c r="F311" s="4">
        <v>60436.225052663947</v>
      </c>
    </row>
    <row r="312" spans="2:6" x14ac:dyDescent="0.25">
      <c r="B312" s="5">
        <v>40948</v>
      </c>
      <c r="C312" s="6" t="s">
        <v>5</v>
      </c>
      <c r="D312" s="6" t="s">
        <v>26</v>
      </c>
      <c r="E312" s="6" t="s">
        <v>156</v>
      </c>
      <c r="F312" s="4">
        <v>50115.223687396574</v>
      </c>
    </row>
    <row r="313" spans="2:6" x14ac:dyDescent="0.25">
      <c r="B313" s="5">
        <v>40951</v>
      </c>
      <c r="C313" s="6" t="s">
        <v>11</v>
      </c>
      <c r="D313" s="6" t="s">
        <v>18</v>
      </c>
      <c r="E313" s="6" t="s">
        <v>128</v>
      </c>
      <c r="F313" s="4">
        <v>57443.326090109986</v>
      </c>
    </row>
    <row r="314" spans="2:6" x14ac:dyDescent="0.25">
      <c r="B314" s="5">
        <v>40952</v>
      </c>
      <c r="C314" s="6" t="s">
        <v>14</v>
      </c>
      <c r="D314" s="6" t="s">
        <v>35</v>
      </c>
      <c r="E314" s="6" t="s">
        <v>152</v>
      </c>
      <c r="F314" s="4">
        <v>79778.438605011106</v>
      </c>
    </row>
    <row r="315" spans="2:6" x14ac:dyDescent="0.25">
      <c r="B315" s="5">
        <v>40952</v>
      </c>
      <c r="C315" s="6" t="s">
        <v>5</v>
      </c>
      <c r="D315" s="6" t="s">
        <v>23</v>
      </c>
      <c r="E315" s="6" t="s">
        <v>170</v>
      </c>
      <c r="F315" s="4">
        <v>52460.139087394411</v>
      </c>
    </row>
    <row r="316" spans="2:6" x14ac:dyDescent="0.25">
      <c r="B316" s="5">
        <v>40955</v>
      </c>
      <c r="C316" s="6" t="s">
        <v>14</v>
      </c>
      <c r="D316" s="6" t="s">
        <v>46</v>
      </c>
      <c r="E316" s="6" t="s">
        <v>171</v>
      </c>
      <c r="F316" s="4">
        <v>18614.88055606596</v>
      </c>
    </row>
    <row r="317" spans="2:6" x14ac:dyDescent="0.25">
      <c r="B317" s="5">
        <v>40960</v>
      </c>
      <c r="C317" s="6" t="s">
        <v>5</v>
      </c>
      <c r="D317" s="6" t="s">
        <v>28</v>
      </c>
      <c r="E317" s="6" t="s">
        <v>90</v>
      </c>
      <c r="F317" s="4">
        <v>56542.788495891087</v>
      </c>
    </row>
    <row r="318" spans="2:6" x14ac:dyDescent="0.25">
      <c r="B318" s="5">
        <v>40964</v>
      </c>
      <c r="C318" s="6" t="s">
        <v>5</v>
      </c>
      <c r="D318" s="6" t="s">
        <v>54</v>
      </c>
      <c r="E318" s="6" t="s">
        <v>163</v>
      </c>
      <c r="F318" s="4">
        <v>14525.822874882439</v>
      </c>
    </row>
    <row r="319" spans="2:6" x14ac:dyDescent="0.25">
      <c r="B319" s="5">
        <v>40965</v>
      </c>
      <c r="C319" s="6" t="s">
        <v>5</v>
      </c>
      <c r="D319" s="6" t="s">
        <v>20</v>
      </c>
      <c r="E319" s="6" t="s">
        <v>158</v>
      </c>
      <c r="F319" s="4">
        <v>88357.616947810049</v>
      </c>
    </row>
    <row r="320" spans="2:6" x14ac:dyDescent="0.25">
      <c r="B320" s="5">
        <v>40973</v>
      </c>
      <c r="C320" s="6" t="s">
        <v>5</v>
      </c>
      <c r="D320" s="6" t="s">
        <v>9</v>
      </c>
      <c r="E320" s="6" t="s">
        <v>56</v>
      </c>
      <c r="F320" s="4">
        <v>71936.952052184715</v>
      </c>
    </row>
    <row r="321" spans="2:6" x14ac:dyDescent="0.25">
      <c r="B321" s="5">
        <v>40973</v>
      </c>
      <c r="C321" s="6" t="s">
        <v>8</v>
      </c>
      <c r="D321" s="6" t="s">
        <v>40</v>
      </c>
      <c r="E321" s="6" t="s">
        <v>172</v>
      </c>
      <c r="F321" s="4">
        <v>98925.82083498477</v>
      </c>
    </row>
    <row r="322" spans="2:6" x14ac:dyDescent="0.25">
      <c r="B322" s="5">
        <v>40976</v>
      </c>
      <c r="C322" s="6" t="s">
        <v>8</v>
      </c>
      <c r="D322" s="6" t="s">
        <v>23</v>
      </c>
      <c r="E322" s="6" t="s">
        <v>135</v>
      </c>
      <c r="F322" s="4">
        <v>71112.133114830096</v>
      </c>
    </row>
    <row r="323" spans="2:6" x14ac:dyDescent="0.25">
      <c r="B323" s="5">
        <v>40980</v>
      </c>
      <c r="C323" s="6" t="s">
        <v>5</v>
      </c>
      <c r="D323" s="6" t="s">
        <v>12</v>
      </c>
      <c r="E323" s="6" t="s">
        <v>104</v>
      </c>
      <c r="F323" s="4">
        <v>45909.516600117357</v>
      </c>
    </row>
    <row r="324" spans="2:6" x14ac:dyDescent="0.25">
      <c r="B324" s="5">
        <v>40980</v>
      </c>
      <c r="C324" s="6" t="s">
        <v>8</v>
      </c>
      <c r="D324" s="6" t="s">
        <v>23</v>
      </c>
      <c r="E324" s="6" t="s">
        <v>93</v>
      </c>
      <c r="F324" s="4">
        <v>67414.900681885905</v>
      </c>
    </row>
    <row r="325" spans="2:6" x14ac:dyDescent="0.25">
      <c r="B325" s="5">
        <v>40982</v>
      </c>
      <c r="C325" s="6" t="s">
        <v>11</v>
      </c>
      <c r="D325" s="6" t="s">
        <v>6</v>
      </c>
      <c r="E325" s="6" t="s">
        <v>115</v>
      </c>
      <c r="F325" s="4">
        <v>45066.144283415881</v>
      </c>
    </row>
    <row r="326" spans="2:6" x14ac:dyDescent="0.25">
      <c r="B326" s="5">
        <v>40985</v>
      </c>
      <c r="C326" s="6" t="s">
        <v>5</v>
      </c>
      <c r="D326" s="6" t="s">
        <v>46</v>
      </c>
      <c r="E326" s="6" t="s">
        <v>70</v>
      </c>
      <c r="F326" s="4">
        <v>79960.437035221068</v>
      </c>
    </row>
    <row r="327" spans="2:6" x14ac:dyDescent="0.25">
      <c r="B327" s="5">
        <v>40989</v>
      </c>
      <c r="C327" s="6" t="s">
        <v>14</v>
      </c>
      <c r="D327" s="6" t="s">
        <v>26</v>
      </c>
      <c r="E327" s="6" t="s">
        <v>45</v>
      </c>
      <c r="F327" s="4">
        <v>10846.463449144245</v>
      </c>
    </row>
    <row r="328" spans="2:6" x14ac:dyDescent="0.25">
      <c r="B328" s="5">
        <v>40991</v>
      </c>
      <c r="C328" s="6" t="s">
        <v>8</v>
      </c>
      <c r="D328" s="6" t="s">
        <v>43</v>
      </c>
      <c r="E328" s="6" t="s">
        <v>59</v>
      </c>
      <c r="F328" s="4">
        <v>37201.10933590991</v>
      </c>
    </row>
    <row r="329" spans="2:6" x14ac:dyDescent="0.25">
      <c r="B329" s="5">
        <v>40993</v>
      </c>
      <c r="C329" s="6" t="s">
        <v>11</v>
      </c>
      <c r="D329" s="6" t="s">
        <v>6</v>
      </c>
      <c r="E329" s="6" t="s">
        <v>31</v>
      </c>
      <c r="F329" s="4">
        <v>56675.104923727245</v>
      </c>
    </row>
    <row r="330" spans="2:6" x14ac:dyDescent="0.25">
      <c r="B330" s="5">
        <v>40994</v>
      </c>
      <c r="C330" s="6" t="s">
        <v>14</v>
      </c>
      <c r="D330" s="6" t="s">
        <v>28</v>
      </c>
      <c r="E330" s="6" t="s">
        <v>116</v>
      </c>
      <c r="F330" s="4">
        <v>15340.155940891573</v>
      </c>
    </row>
    <row r="331" spans="2:6" x14ac:dyDescent="0.25">
      <c r="B331" s="5">
        <v>40996</v>
      </c>
      <c r="C331" s="6" t="s">
        <v>5</v>
      </c>
      <c r="D331" s="6" t="s">
        <v>54</v>
      </c>
      <c r="E331" s="6" t="s">
        <v>158</v>
      </c>
      <c r="F331" s="4">
        <v>37525.978197096476</v>
      </c>
    </row>
    <row r="332" spans="2:6" x14ac:dyDescent="0.25">
      <c r="B332" s="5">
        <v>41002</v>
      </c>
      <c r="C332" s="6" t="s">
        <v>8</v>
      </c>
      <c r="D332" s="6" t="s">
        <v>23</v>
      </c>
      <c r="E332" s="6" t="s">
        <v>125</v>
      </c>
      <c r="F332" s="4">
        <v>57673.606493775158</v>
      </c>
    </row>
    <row r="333" spans="2:6" x14ac:dyDescent="0.25">
      <c r="B333" s="5">
        <v>41003</v>
      </c>
      <c r="C333" s="6" t="s">
        <v>11</v>
      </c>
      <c r="D333" s="6" t="s">
        <v>23</v>
      </c>
      <c r="E333" s="6" t="s">
        <v>173</v>
      </c>
      <c r="F333" s="4">
        <v>31202.078552555085</v>
      </c>
    </row>
    <row r="334" spans="2:6" x14ac:dyDescent="0.25">
      <c r="B334" s="5">
        <v>41006</v>
      </c>
      <c r="C334" s="6" t="s">
        <v>14</v>
      </c>
      <c r="D334" s="6" t="s">
        <v>54</v>
      </c>
      <c r="E334" s="6" t="s">
        <v>36</v>
      </c>
      <c r="F334" s="4">
        <v>91761.535300253629</v>
      </c>
    </row>
    <row r="335" spans="2:6" x14ac:dyDescent="0.25">
      <c r="B335" s="5">
        <v>41009</v>
      </c>
      <c r="C335" s="6" t="s">
        <v>5</v>
      </c>
      <c r="D335" s="6" t="s">
        <v>46</v>
      </c>
      <c r="E335" s="6" t="s">
        <v>95</v>
      </c>
      <c r="F335" s="4">
        <v>43521.730210773945</v>
      </c>
    </row>
    <row r="336" spans="2:6" x14ac:dyDescent="0.25">
      <c r="B336" s="5">
        <v>41012</v>
      </c>
      <c r="C336" s="6" t="s">
        <v>5</v>
      </c>
      <c r="D336" s="6" t="s">
        <v>9</v>
      </c>
      <c r="E336" s="6" t="s">
        <v>60</v>
      </c>
      <c r="F336" s="4">
        <v>43162.882487180628</v>
      </c>
    </row>
    <row r="337" spans="2:6" x14ac:dyDescent="0.25">
      <c r="B337" s="5">
        <v>41015</v>
      </c>
      <c r="C337" s="6" t="s">
        <v>11</v>
      </c>
      <c r="D337" s="6" t="s">
        <v>35</v>
      </c>
      <c r="E337" s="6" t="s">
        <v>174</v>
      </c>
      <c r="F337" s="4">
        <v>86941.608342355277</v>
      </c>
    </row>
    <row r="338" spans="2:6" x14ac:dyDescent="0.25">
      <c r="B338" s="5">
        <v>41016</v>
      </c>
      <c r="C338" s="6" t="s">
        <v>5</v>
      </c>
      <c r="D338" s="6" t="s">
        <v>54</v>
      </c>
      <c r="E338" s="6" t="s">
        <v>44</v>
      </c>
      <c r="F338" s="4">
        <v>83198.635906655923</v>
      </c>
    </row>
    <row r="339" spans="2:6" x14ac:dyDescent="0.25">
      <c r="B339" s="5">
        <v>41016</v>
      </c>
      <c r="C339" s="6" t="s">
        <v>5</v>
      </c>
      <c r="D339" s="6" t="s">
        <v>28</v>
      </c>
      <c r="E339" s="6" t="s">
        <v>91</v>
      </c>
      <c r="F339" s="4">
        <v>58883.686050685799</v>
      </c>
    </row>
    <row r="340" spans="2:6" x14ac:dyDescent="0.25">
      <c r="B340" s="5">
        <v>41020</v>
      </c>
      <c r="C340" s="6" t="s">
        <v>14</v>
      </c>
      <c r="D340" s="6" t="s">
        <v>23</v>
      </c>
      <c r="E340" s="6" t="s">
        <v>175</v>
      </c>
      <c r="F340" s="4">
        <v>70980.554463138978</v>
      </c>
    </row>
    <row r="341" spans="2:6" x14ac:dyDescent="0.25">
      <c r="B341" s="5">
        <v>41022</v>
      </c>
      <c r="C341" s="6" t="s">
        <v>11</v>
      </c>
      <c r="D341" s="6" t="s">
        <v>9</v>
      </c>
      <c r="E341" s="6" t="s">
        <v>76</v>
      </c>
      <c r="F341" s="4">
        <v>11266.843077455864</v>
      </c>
    </row>
    <row r="342" spans="2:6" x14ac:dyDescent="0.25">
      <c r="B342" s="5">
        <v>41024</v>
      </c>
      <c r="C342" s="6" t="s">
        <v>5</v>
      </c>
      <c r="D342" s="6" t="s">
        <v>9</v>
      </c>
      <c r="E342" s="6" t="s">
        <v>101</v>
      </c>
      <c r="F342" s="4">
        <v>45603.604311789168</v>
      </c>
    </row>
    <row r="343" spans="2:6" x14ac:dyDescent="0.25">
      <c r="B343" s="5">
        <v>41025</v>
      </c>
      <c r="C343" s="6" t="s">
        <v>8</v>
      </c>
      <c r="D343" s="6" t="s">
        <v>40</v>
      </c>
      <c r="E343" s="6" t="s">
        <v>52</v>
      </c>
      <c r="F343" s="4">
        <v>23596.951857925942</v>
      </c>
    </row>
    <row r="344" spans="2:6" x14ac:dyDescent="0.25">
      <c r="B344" s="5">
        <v>41025</v>
      </c>
      <c r="C344" s="6" t="s">
        <v>5</v>
      </c>
      <c r="D344" s="6" t="s">
        <v>23</v>
      </c>
      <c r="E344" s="6" t="s">
        <v>123</v>
      </c>
      <c r="F344" s="4">
        <v>30503.437035654089</v>
      </c>
    </row>
    <row r="345" spans="2:6" x14ac:dyDescent="0.25">
      <c r="B345" s="5">
        <v>41025</v>
      </c>
      <c r="C345" s="6" t="s">
        <v>14</v>
      </c>
      <c r="D345" s="6" t="s">
        <v>15</v>
      </c>
      <c r="E345" s="6" t="s">
        <v>59</v>
      </c>
      <c r="F345" s="4">
        <v>12744.311530808573</v>
      </c>
    </row>
    <row r="346" spans="2:6" x14ac:dyDescent="0.25">
      <c r="B346" s="5">
        <v>41027</v>
      </c>
      <c r="C346" s="6" t="s">
        <v>8</v>
      </c>
      <c r="D346" s="6" t="s">
        <v>43</v>
      </c>
      <c r="E346" s="6" t="s">
        <v>81</v>
      </c>
      <c r="F346" s="4">
        <v>71174.613941153089</v>
      </c>
    </row>
    <row r="347" spans="2:6" x14ac:dyDescent="0.25">
      <c r="B347" s="5">
        <v>41030</v>
      </c>
      <c r="C347" s="6" t="s">
        <v>14</v>
      </c>
      <c r="D347" s="6" t="s">
        <v>33</v>
      </c>
      <c r="E347" s="6" t="s">
        <v>30</v>
      </c>
      <c r="F347" s="4">
        <v>43898.334101001128</v>
      </c>
    </row>
    <row r="348" spans="2:6" x14ac:dyDescent="0.25">
      <c r="B348" s="5">
        <v>41031</v>
      </c>
      <c r="C348" s="6" t="s">
        <v>5</v>
      </c>
      <c r="D348" s="6" t="s">
        <v>35</v>
      </c>
      <c r="E348" s="6" t="s">
        <v>80</v>
      </c>
      <c r="F348" s="4">
        <v>17421.758876304619</v>
      </c>
    </row>
    <row r="349" spans="2:6" x14ac:dyDescent="0.25">
      <c r="B349" s="5">
        <v>41032</v>
      </c>
      <c r="C349" s="6" t="s">
        <v>5</v>
      </c>
      <c r="D349" s="6" t="s">
        <v>46</v>
      </c>
      <c r="E349" s="6" t="s">
        <v>25</v>
      </c>
      <c r="F349" s="4">
        <v>88732.700251215749</v>
      </c>
    </row>
    <row r="350" spans="2:6" x14ac:dyDescent="0.25">
      <c r="B350" s="5">
        <v>41036</v>
      </c>
      <c r="C350" s="6" t="s">
        <v>5</v>
      </c>
      <c r="D350" s="6" t="s">
        <v>46</v>
      </c>
      <c r="E350" s="6" t="s">
        <v>70</v>
      </c>
      <c r="F350" s="4">
        <v>31352.499344225515</v>
      </c>
    </row>
    <row r="351" spans="2:6" x14ac:dyDescent="0.25">
      <c r="B351" s="5">
        <v>41036</v>
      </c>
      <c r="C351" s="6" t="s">
        <v>11</v>
      </c>
      <c r="D351" s="6" t="s">
        <v>54</v>
      </c>
      <c r="E351" s="6" t="s">
        <v>103</v>
      </c>
      <c r="F351" s="4">
        <v>59162.002701358448</v>
      </c>
    </row>
    <row r="352" spans="2:6" x14ac:dyDescent="0.25">
      <c r="B352" s="5">
        <v>41040</v>
      </c>
      <c r="C352" s="6" t="s">
        <v>8</v>
      </c>
      <c r="D352" s="6" t="s">
        <v>28</v>
      </c>
      <c r="E352" s="6" t="s">
        <v>77</v>
      </c>
      <c r="F352" s="4">
        <v>33463.876880385775</v>
      </c>
    </row>
    <row r="353" spans="2:6" x14ac:dyDescent="0.25">
      <c r="B353" s="5">
        <v>41042</v>
      </c>
      <c r="C353" s="6" t="s">
        <v>5</v>
      </c>
      <c r="D353" s="6" t="s">
        <v>18</v>
      </c>
      <c r="E353" s="6" t="s">
        <v>135</v>
      </c>
      <c r="F353" s="4">
        <v>79150.746236958628</v>
      </c>
    </row>
    <row r="354" spans="2:6" x14ac:dyDescent="0.25">
      <c r="B354" s="5">
        <v>41043</v>
      </c>
      <c r="C354" s="6" t="s">
        <v>8</v>
      </c>
      <c r="D354" s="6" t="s">
        <v>26</v>
      </c>
      <c r="E354" s="6" t="s">
        <v>71</v>
      </c>
      <c r="F354" s="4">
        <v>25839.869495012001</v>
      </c>
    </row>
    <row r="355" spans="2:6" x14ac:dyDescent="0.25">
      <c r="B355" s="5">
        <v>41045</v>
      </c>
      <c r="C355" s="6" t="s">
        <v>11</v>
      </c>
      <c r="D355" s="6" t="s">
        <v>20</v>
      </c>
      <c r="E355" s="6" t="s">
        <v>61</v>
      </c>
      <c r="F355" s="4">
        <v>73911.136496137988</v>
      </c>
    </row>
    <row r="356" spans="2:6" x14ac:dyDescent="0.25">
      <c r="B356" s="5">
        <v>41046</v>
      </c>
      <c r="C356" s="6" t="s">
        <v>8</v>
      </c>
      <c r="D356" s="6" t="s">
        <v>18</v>
      </c>
      <c r="E356" s="6" t="s">
        <v>107</v>
      </c>
      <c r="F356" s="4">
        <v>35227.562266011286</v>
      </c>
    </row>
    <row r="357" spans="2:6" x14ac:dyDescent="0.25">
      <c r="B357" s="5">
        <v>41046</v>
      </c>
      <c r="C357" s="6" t="s">
        <v>5</v>
      </c>
      <c r="D357" s="6" t="s">
        <v>43</v>
      </c>
      <c r="E357" s="6" t="s">
        <v>66</v>
      </c>
      <c r="F357" s="4">
        <v>64517.874737515311</v>
      </c>
    </row>
    <row r="358" spans="2:6" x14ac:dyDescent="0.25">
      <c r="B358" s="5">
        <v>41047</v>
      </c>
      <c r="C358" s="6" t="s">
        <v>8</v>
      </c>
      <c r="D358" s="6" t="s">
        <v>6</v>
      </c>
      <c r="E358" s="6" t="s">
        <v>131</v>
      </c>
      <c r="F358" s="4">
        <v>97655.856808167606</v>
      </c>
    </row>
    <row r="359" spans="2:6" x14ac:dyDescent="0.25">
      <c r="B359" s="5">
        <v>41050</v>
      </c>
      <c r="C359" s="6" t="s">
        <v>5</v>
      </c>
      <c r="D359" s="6" t="s">
        <v>54</v>
      </c>
      <c r="E359" s="6" t="s">
        <v>51</v>
      </c>
      <c r="F359" s="4">
        <v>58615.689649242384</v>
      </c>
    </row>
    <row r="360" spans="2:6" x14ac:dyDescent="0.25">
      <c r="B360" s="5">
        <v>41052</v>
      </c>
      <c r="C360" s="6" t="s">
        <v>5</v>
      </c>
      <c r="D360" s="6" t="s">
        <v>18</v>
      </c>
      <c r="E360" s="6" t="s">
        <v>121</v>
      </c>
      <c r="F360" s="4">
        <v>34757.620265474405</v>
      </c>
    </row>
    <row r="361" spans="2:6" x14ac:dyDescent="0.25">
      <c r="B361" s="5">
        <v>41054</v>
      </c>
      <c r="C361" s="6" t="s">
        <v>8</v>
      </c>
      <c r="D361" s="6" t="s">
        <v>26</v>
      </c>
      <c r="E361" s="6" t="s">
        <v>113</v>
      </c>
      <c r="F361" s="4">
        <v>59635.432105501837</v>
      </c>
    </row>
    <row r="362" spans="2:6" x14ac:dyDescent="0.25">
      <c r="B362" s="5">
        <v>41058</v>
      </c>
      <c r="C362" s="6" t="s">
        <v>5</v>
      </c>
      <c r="D362" s="6" t="s">
        <v>54</v>
      </c>
      <c r="E362" s="6" t="s">
        <v>150</v>
      </c>
      <c r="F362" s="4">
        <v>75853.165567918084</v>
      </c>
    </row>
    <row r="363" spans="2:6" x14ac:dyDescent="0.25">
      <c r="B363" s="5">
        <v>41059</v>
      </c>
      <c r="C363" s="6" t="s">
        <v>8</v>
      </c>
      <c r="D363" s="6" t="s">
        <v>40</v>
      </c>
      <c r="E363" s="6" t="s">
        <v>66</v>
      </c>
      <c r="F363" s="4">
        <v>94232.637867414131</v>
      </c>
    </row>
    <row r="364" spans="2:6" x14ac:dyDescent="0.25">
      <c r="B364" s="5">
        <v>41063</v>
      </c>
      <c r="C364" s="6" t="s">
        <v>11</v>
      </c>
      <c r="D364" s="6" t="s">
        <v>26</v>
      </c>
      <c r="E364" s="6" t="s">
        <v>37</v>
      </c>
      <c r="F364" s="4">
        <v>96801.02303526242</v>
      </c>
    </row>
    <row r="365" spans="2:6" x14ac:dyDescent="0.25">
      <c r="B365" s="5">
        <v>41070</v>
      </c>
      <c r="C365" s="6" t="s">
        <v>14</v>
      </c>
      <c r="D365" s="6" t="s">
        <v>33</v>
      </c>
      <c r="E365" s="6" t="s">
        <v>60</v>
      </c>
      <c r="F365" s="4">
        <v>41403.707467135398</v>
      </c>
    </row>
    <row r="366" spans="2:6" x14ac:dyDescent="0.25">
      <c r="B366" s="5">
        <v>41071</v>
      </c>
      <c r="C366" s="6" t="s">
        <v>11</v>
      </c>
      <c r="D366" s="6" t="s">
        <v>46</v>
      </c>
      <c r="E366" s="6" t="s">
        <v>82</v>
      </c>
      <c r="F366" s="4">
        <v>54464.107202806561</v>
      </c>
    </row>
    <row r="367" spans="2:6" x14ac:dyDescent="0.25">
      <c r="B367" s="5">
        <v>41074</v>
      </c>
      <c r="C367" s="6" t="s">
        <v>5</v>
      </c>
      <c r="D367" s="6" t="s">
        <v>46</v>
      </c>
      <c r="E367" s="6" t="s">
        <v>109</v>
      </c>
      <c r="F367" s="4">
        <v>59713.147083575619</v>
      </c>
    </row>
    <row r="368" spans="2:6" x14ac:dyDescent="0.25">
      <c r="B368" s="5">
        <v>41076</v>
      </c>
      <c r="C368" s="6" t="s">
        <v>11</v>
      </c>
      <c r="D368" s="6" t="s">
        <v>54</v>
      </c>
      <c r="E368" s="6" t="s">
        <v>176</v>
      </c>
      <c r="F368" s="4">
        <v>65529.047195969033</v>
      </c>
    </row>
    <row r="369" spans="2:6" x14ac:dyDescent="0.25">
      <c r="B369" s="5">
        <v>41077</v>
      </c>
      <c r="C369" s="6" t="s">
        <v>8</v>
      </c>
      <c r="D369" s="6" t="s">
        <v>18</v>
      </c>
      <c r="E369" s="6" t="s">
        <v>96</v>
      </c>
      <c r="F369" s="4">
        <v>31287.584912585011</v>
      </c>
    </row>
    <row r="370" spans="2:6" x14ac:dyDescent="0.25">
      <c r="B370" s="5">
        <v>41082</v>
      </c>
      <c r="C370" s="6" t="s">
        <v>5</v>
      </c>
      <c r="D370" s="6" t="s">
        <v>20</v>
      </c>
      <c r="E370" s="6" t="s">
        <v>83</v>
      </c>
      <c r="F370" s="4">
        <v>17332.187520223975</v>
      </c>
    </row>
    <row r="371" spans="2:6" x14ac:dyDescent="0.25">
      <c r="B371" s="5">
        <v>41083</v>
      </c>
      <c r="C371" s="6" t="s">
        <v>8</v>
      </c>
      <c r="D371" s="6" t="s">
        <v>28</v>
      </c>
      <c r="E371" s="6" t="s">
        <v>155</v>
      </c>
      <c r="F371" s="4">
        <v>10522.238783469778</v>
      </c>
    </row>
    <row r="372" spans="2:6" x14ac:dyDescent="0.25">
      <c r="B372" s="5">
        <v>41085</v>
      </c>
      <c r="C372" s="6" t="s">
        <v>5</v>
      </c>
      <c r="D372" s="6" t="s">
        <v>54</v>
      </c>
      <c r="E372" s="6" t="s">
        <v>22</v>
      </c>
      <c r="F372" s="4">
        <v>92298.935241479659</v>
      </c>
    </row>
    <row r="373" spans="2:6" x14ac:dyDescent="0.25">
      <c r="B373" s="5">
        <v>41086</v>
      </c>
      <c r="C373" s="6" t="s">
        <v>14</v>
      </c>
      <c r="D373" s="6" t="s">
        <v>15</v>
      </c>
      <c r="E373" s="6" t="s">
        <v>170</v>
      </c>
      <c r="F373" s="4">
        <v>94913.287941976596</v>
      </c>
    </row>
    <row r="374" spans="2:6" x14ac:dyDescent="0.25">
      <c r="B374" s="5">
        <v>41086</v>
      </c>
      <c r="C374" s="6" t="s">
        <v>14</v>
      </c>
      <c r="D374" s="6" t="s">
        <v>33</v>
      </c>
      <c r="E374" s="6" t="s">
        <v>16</v>
      </c>
      <c r="F374" s="4">
        <v>26316.54494435481</v>
      </c>
    </row>
    <row r="375" spans="2:6" x14ac:dyDescent="0.25">
      <c r="B375" s="5">
        <v>41088</v>
      </c>
      <c r="C375" s="6" t="s">
        <v>5</v>
      </c>
      <c r="D375" s="6" t="s">
        <v>15</v>
      </c>
      <c r="E375" s="6" t="s">
        <v>150</v>
      </c>
      <c r="F375" s="4">
        <v>74505.129121170059</v>
      </c>
    </row>
    <row r="376" spans="2:6" x14ac:dyDescent="0.25">
      <c r="B376" s="5">
        <v>41093</v>
      </c>
      <c r="C376" s="6" t="s">
        <v>5</v>
      </c>
      <c r="D376" s="6" t="s">
        <v>26</v>
      </c>
      <c r="E376" s="6" t="s">
        <v>89</v>
      </c>
      <c r="F376" s="4">
        <v>44831.619860906612</v>
      </c>
    </row>
    <row r="377" spans="2:6" x14ac:dyDescent="0.25">
      <c r="B377" s="5">
        <v>41098</v>
      </c>
      <c r="C377" s="6" t="s">
        <v>5</v>
      </c>
      <c r="D377" s="6" t="s">
        <v>46</v>
      </c>
      <c r="E377" s="6" t="s">
        <v>100</v>
      </c>
      <c r="F377" s="4">
        <v>94261.076840240581</v>
      </c>
    </row>
    <row r="378" spans="2:6" x14ac:dyDescent="0.25">
      <c r="B378" s="5">
        <v>41098</v>
      </c>
      <c r="C378" s="6" t="s">
        <v>5</v>
      </c>
      <c r="D378" s="6" t="s">
        <v>6</v>
      </c>
      <c r="E378" s="6" t="s">
        <v>74</v>
      </c>
      <c r="F378" s="4">
        <v>50443.380880934012</v>
      </c>
    </row>
    <row r="379" spans="2:6" x14ac:dyDescent="0.25">
      <c r="B379" s="5">
        <v>41100</v>
      </c>
      <c r="C379" s="6" t="s">
        <v>5</v>
      </c>
      <c r="D379" s="6" t="s">
        <v>15</v>
      </c>
      <c r="E379" s="6" t="s">
        <v>21</v>
      </c>
      <c r="F379" s="4">
        <v>96894.903305760716</v>
      </c>
    </row>
    <row r="380" spans="2:6" x14ac:dyDescent="0.25">
      <c r="B380" s="5">
        <v>41103</v>
      </c>
      <c r="C380" s="6" t="s">
        <v>8</v>
      </c>
      <c r="D380" s="6" t="s">
        <v>26</v>
      </c>
      <c r="E380" s="6" t="s">
        <v>132</v>
      </c>
      <c r="F380" s="4">
        <v>73748.887322457274</v>
      </c>
    </row>
    <row r="381" spans="2:6" x14ac:dyDescent="0.25">
      <c r="B381" s="5">
        <v>41108</v>
      </c>
      <c r="C381" s="6" t="s">
        <v>11</v>
      </c>
      <c r="D381" s="6" t="s">
        <v>40</v>
      </c>
      <c r="E381" s="6" t="s">
        <v>112</v>
      </c>
      <c r="F381" s="4">
        <v>17044.64398416123</v>
      </c>
    </row>
    <row r="382" spans="2:6" x14ac:dyDescent="0.25">
      <c r="B382" s="5">
        <v>41111</v>
      </c>
      <c r="C382" s="6" t="s">
        <v>8</v>
      </c>
      <c r="D382" s="6" t="s">
        <v>20</v>
      </c>
      <c r="E382" s="6" t="s">
        <v>140</v>
      </c>
      <c r="F382" s="4">
        <v>92466.118131719559</v>
      </c>
    </row>
    <row r="383" spans="2:6" x14ac:dyDescent="0.25">
      <c r="B383" s="5">
        <v>41113</v>
      </c>
      <c r="C383" s="6" t="s">
        <v>5</v>
      </c>
      <c r="D383" s="6" t="s">
        <v>9</v>
      </c>
      <c r="E383" s="6" t="s">
        <v>149</v>
      </c>
      <c r="F383" s="4">
        <v>54349.676414894544</v>
      </c>
    </row>
    <row r="384" spans="2:6" x14ac:dyDescent="0.25">
      <c r="B384" s="5">
        <v>41116</v>
      </c>
      <c r="C384" s="6" t="s">
        <v>5</v>
      </c>
      <c r="D384" s="6" t="s">
        <v>26</v>
      </c>
      <c r="E384" s="6" t="s">
        <v>171</v>
      </c>
      <c r="F384" s="4">
        <v>47687.851782677717</v>
      </c>
    </row>
    <row r="385" spans="2:6" x14ac:dyDescent="0.25">
      <c r="B385" s="5">
        <v>41125</v>
      </c>
      <c r="C385" s="6" t="s">
        <v>5</v>
      </c>
      <c r="D385" s="6" t="s">
        <v>43</v>
      </c>
      <c r="E385" s="6" t="s">
        <v>135</v>
      </c>
      <c r="F385" s="4">
        <v>18606.576013400307</v>
      </c>
    </row>
    <row r="386" spans="2:6" x14ac:dyDescent="0.25">
      <c r="B386" s="5">
        <v>41125</v>
      </c>
      <c r="C386" s="6" t="s">
        <v>5</v>
      </c>
      <c r="D386" s="6" t="s">
        <v>15</v>
      </c>
      <c r="E386" s="6" t="s">
        <v>86</v>
      </c>
      <c r="F386" s="4">
        <v>70577.36885090961</v>
      </c>
    </row>
    <row r="387" spans="2:6" x14ac:dyDescent="0.25">
      <c r="B387" s="5">
        <v>41125</v>
      </c>
      <c r="C387" s="6" t="s">
        <v>5</v>
      </c>
      <c r="D387" s="6" t="s">
        <v>26</v>
      </c>
      <c r="E387" s="6" t="s">
        <v>114</v>
      </c>
      <c r="F387" s="4">
        <v>53155.378598300704</v>
      </c>
    </row>
    <row r="388" spans="2:6" x14ac:dyDescent="0.25">
      <c r="B388" s="5">
        <v>41125</v>
      </c>
      <c r="C388" s="6" t="s">
        <v>5</v>
      </c>
      <c r="D388" s="6" t="s">
        <v>12</v>
      </c>
      <c r="E388" s="6" t="s">
        <v>177</v>
      </c>
      <c r="F388" s="4">
        <v>98004.032576956772</v>
      </c>
    </row>
    <row r="389" spans="2:6" x14ac:dyDescent="0.25">
      <c r="B389" s="5">
        <v>41126</v>
      </c>
      <c r="C389" s="6" t="s">
        <v>5</v>
      </c>
      <c r="D389" s="6" t="s">
        <v>40</v>
      </c>
      <c r="E389" s="6" t="s">
        <v>31</v>
      </c>
      <c r="F389" s="4">
        <v>96004.571440500338</v>
      </c>
    </row>
    <row r="390" spans="2:6" x14ac:dyDescent="0.25">
      <c r="B390" s="5">
        <v>41127</v>
      </c>
      <c r="C390" s="6" t="s">
        <v>5</v>
      </c>
      <c r="D390" s="6" t="s">
        <v>28</v>
      </c>
      <c r="E390" s="6" t="s">
        <v>80</v>
      </c>
      <c r="F390" s="4">
        <v>42741.262973642806</v>
      </c>
    </row>
    <row r="391" spans="2:6" x14ac:dyDescent="0.25">
      <c r="B391" s="5">
        <v>41131</v>
      </c>
      <c r="C391" s="6" t="s">
        <v>14</v>
      </c>
      <c r="D391" s="6" t="s">
        <v>9</v>
      </c>
      <c r="E391" s="6" t="s">
        <v>86</v>
      </c>
      <c r="F391" s="4">
        <v>37456.947019011415</v>
      </c>
    </row>
    <row r="392" spans="2:6" x14ac:dyDescent="0.25">
      <c r="B392" s="5">
        <v>41134</v>
      </c>
      <c r="C392" s="6" t="s">
        <v>8</v>
      </c>
      <c r="D392" s="6" t="s">
        <v>12</v>
      </c>
      <c r="E392" s="6" t="s">
        <v>78</v>
      </c>
      <c r="F392" s="4">
        <v>83517.692765906337</v>
      </c>
    </row>
    <row r="393" spans="2:6" x14ac:dyDescent="0.25">
      <c r="B393" s="5">
        <v>41140</v>
      </c>
      <c r="C393" s="6" t="s">
        <v>5</v>
      </c>
      <c r="D393" s="6" t="s">
        <v>43</v>
      </c>
      <c r="E393" s="6" t="s">
        <v>27</v>
      </c>
      <c r="F393" s="4">
        <v>86503.566323888226</v>
      </c>
    </row>
    <row r="394" spans="2:6" x14ac:dyDescent="0.25">
      <c r="B394" s="5">
        <v>41140</v>
      </c>
      <c r="C394" s="6" t="s">
        <v>5</v>
      </c>
      <c r="D394" s="6" t="s">
        <v>6</v>
      </c>
      <c r="E394" s="6" t="s">
        <v>106</v>
      </c>
      <c r="F394" s="4">
        <v>93961.984083880219</v>
      </c>
    </row>
    <row r="395" spans="2:6" x14ac:dyDescent="0.25">
      <c r="B395" s="5">
        <v>41143</v>
      </c>
      <c r="C395" s="6" t="s">
        <v>8</v>
      </c>
      <c r="D395" s="6" t="s">
        <v>9</v>
      </c>
      <c r="E395" s="6" t="s">
        <v>100</v>
      </c>
      <c r="F395" s="4">
        <v>98165.676675547453</v>
      </c>
    </row>
    <row r="396" spans="2:6" x14ac:dyDescent="0.25">
      <c r="B396" s="5">
        <v>41147</v>
      </c>
      <c r="C396" s="6" t="s">
        <v>5</v>
      </c>
      <c r="D396" s="6" t="s">
        <v>40</v>
      </c>
      <c r="E396" s="6" t="s">
        <v>100</v>
      </c>
      <c r="F396" s="4">
        <v>24108.99239573751</v>
      </c>
    </row>
    <row r="397" spans="2:6" x14ac:dyDescent="0.25">
      <c r="B397" s="5">
        <v>41159</v>
      </c>
      <c r="C397" s="6" t="s">
        <v>5</v>
      </c>
      <c r="D397" s="6" t="s">
        <v>18</v>
      </c>
      <c r="E397" s="6" t="s">
        <v>178</v>
      </c>
      <c r="F397" s="4">
        <v>62335.619688425621</v>
      </c>
    </row>
    <row r="398" spans="2:6" x14ac:dyDescent="0.25">
      <c r="B398" s="5">
        <v>41163</v>
      </c>
      <c r="C398" s="6" t="s">
        <v>8</v>
      </c>
      <c r="D398" s="6" t="s">
        <v>15</v>
      </c>
      <c r="E398" s="6" t="s">
        <v>158</v>
      </c>
      <c r="F398" s="4">
        <v>27027.409649196728</v>
      </c>
    </row>
    <row r="399" spans="2:6" x14ac:dyDescent="0.25">
      <c r="B399" s="5">
        <v>41174</v>
      </c>
      <c r="C399" s="6" t="s">
        <v>5</v>
      </c>
      <c r="D399" s="6" t="s">
        <v>28</v>
      </c>
      <c r="E399" s="6" t="s">
        <v>88</v>
      </c>
      <c r="F399" s="4">
        <v>81408.396026164337</v>
      </c>
    </row>
    <row r="400" spans="2:6" x14ac:dyDescent="0.25">
      <c r="B400" s="5">
        <v>41176</v>
      </c>
      <c r="C400" s="6" t="s">
        <v>8</v>
      </c>
      <c r="D400" s="6" t="s">
        <v>26</v>
      </c>
      <c r="E400" s="6" t="s">
        <v>171</v>
      </c>
      <c r="F400" s="4">
        <v>13624.968745770948</v>
      </c>
    </row>
    <row r="401" spans="2:6" x14ac:dyDescent="0.25">
      <c r="B401" s="5">
        <v>41180</v>
      </c>
      <c r="C401" s="6" t="s">
        <v>5</v>
      </c>
      <c r="D401" s="6" t="s">
        <v>46</v>
      </c>
      <c r="E401" s="6" t="s">
        <v>34</v>
      </c>
      <c r="F401" s="4">
        <v>83606.916351170308</v>
      </c>
    </row>
    <row r="402" spans="2:6" x14ac:dyDescent="0.25">
      <c r="B402" s="5">
        <v>41180</v>
      </c>
      <c r="C402" s="6" t="s">
        <v>5</v>
      </c>
      <c r="D402" s="6" t="s">
        <v>20</v>
      </c>
      <c r="E402" s="6" t="s">
        <v>164</v>
      </c>
      <c r="F402" s="4">
        <v>91385.939972832261</v>
      </c>
    </row>
    <row r="403" spans="2:6" x14ac:dyDescent="0.25">
      <c r="B403" s="5">
        <v>41180</v>
      </c>
      <c r="C403" s="6" t="s">
        <v>5</v>
      </c>
      <c r="D403" s="6" t="s">
        <v>28</v>
      </c>
      <c r="E403" s="6" t="s">
        <v>37</v>
      </c>
      <c r="F403" s="4">
        <v>27611.167976032852</v>
      </c>
    </row>
    <row r="404" spans="2:6" x14ac:dyDescent="0.25">
      <c r="B404" s="5">
        <v>41182</v>
      </c>
      <c r="C404" s="6" t="s">
        <v>11</v>
      </c>
      <c r="D404" s="6" t="s">
        <v>40</v>
      </c>
      <c r="E404" s="6" t="s">
        <v>21</v>
      </c>
      <c r="F404" s="4">
        <v>29578.389322053095</v>
      </c>
    </row>
    <row r="405" spans="2:6" x14ac:dyDescent="0.25">
      <c r="B405" s="5">
        <v>41183</v>
      </c>
      <c r="C405" s="6" t="s">
        <v>8</v>
      </c>
      <c r="D405" s="6" t="s">
        <v>54</v>
      </c>
      <c r="E405" s="6" t="s">
        <v>179</v>
      </c>
      <c r="F405" s="4">
        <v>26882.433859532754</v>
      </c>
    </row>
    <row r="406" spans="2:6" x14ac:dyDescent="0.25">
      <c r="B406" s="5">
        <v>41183</v>
      </c>
      <c r="C406" s="6" t="s">
        <v>8</v>
      </c>
      <c r="D406" s="6" t="s">
        <v>46</v>
      </c>
      <c r="E406" s="6" t="s">
        <v>131</v>
      </c>
      <c r="F406" s="4">
        <v>49980.269234971558</v>
      </c>
    </row>
    <row r="407" spans="2:6" x14ac:dyDescent="0.25">
      <c r="B407" s="5">
        <v>41186</v>
      </c>
      <c r="C407" s="6" t="s">
        <v>8</v>
      </c>
      <c r="D407" s="6" t="s">
        <v>15</v>
      </c>
      <c r="E407" s="6" t="s">
        <v>180</v>
      </c>
      <c r="F407" s="4">
        <v>57064.874866804392</v>
      </c>
    </row>
    <row r="408" spans="2:6" x14ac:dyDescent="0.25">
      <c r="B408" s="5">
        <v>41187</v>
      </c>
      <c r="C408" s="6" t="s">
        <v>8</v>
      </c>
      <c r="D408" s="6" t="s">
        <v>26</v>
      </c>
      <c r="E408" s="6" t="s">
        <v>25</v>
      </c>
      <c r="F408" s="4">
        <v>23024.70611441963</v>
      </c>
    </row>
    <row r="409" spans="2:6" x14ac:dyDescent="0.25">
      <c r="B409" s="5">
        <v>41189</v>
      </c>
      <c r="C409" s="6" t="s">
        <v>8</v>
      </c>
      <c r="D409" s="6" t="s">
        <v>23</v>
      </c>
      <c r="E409" s="6" t="s">
        <v>129</v>
      </c>
      <c r="F409" s="4">
        <v>93019.685912555986</v>
      </c>
    </row>
    <row r="410" spans="2:6" x14ac:dyDescent="0.25">
      <c r="B410" s="5">
        <v>41190</v>
      </c>
      <c r="C410" s="6" t="s">
        <v>8</v>
      </c>
      <c r="D410" s="6" t="s">
        <v>15</v>
      </c>
      <c r="E410" s="6" t="s">
        <v>64</v>
      </c>
      <c r="F410" s="4">
        <v>52720.552504315106</v>
      </c>
    </row>
    <row r="411" spans="2:6" x14ac:dyDescent="0.25">
      <c r="B411" s="5">
        <v>41192</v>
      </c>
      <c r="C411" s="6" t="s">
        <v>5</v>
      </c>
      <c r="D411" s="6" t="s">
        <v>9</v>
      </c>
      <c r="E411" s="6" t="s">
        <v>151</v>
      </c>
      <c r="F411" s="4">
        <v>79238.759368081155</v>
      </c>
    </row>
    <row r="412" spans="2:6" x14ac:dyDescent="0.25">
      <c r="B412" s="5">
        <v>41194</v>
      </c>
      <c r="C412" s="6" t="s">
        <v>5</v>
      </c>
      <c r="D412" s="6" t="s">
        <v>23</v>
      </c>
      <c r="E412" s="6" t="s">
        <v>143</v>
      </c>
      <c r="F412" s="4">
        <v>18188.179953575338</v>
      </c>
    </row>
    <row r="413" spans="2:6" x14ac:dyDescent="0.25">
      <c r="B413" s="5">
        <v>41195</v>
      </c>
      <c r="C413" s="6" t="s">
        <v>14</v>
      </c>
      <c r="D413" s="6" t="s">
        <v>40</v>
      </c>
      <c r="E413" s="6" t="s">
        <v>130</v>
      </c>
      <c r="F413" s="4">
        <v>91576.300699579282</v>
      </c>
    </row>
    <row r="414" spans="2:6" x14ac:dyDescent="0.25">
      <c r="B414" s="5">
        <v>41200</v>
      </c>
      <c r="C414" s="6" t="s">
        <v>8</v>
      </c>
      <c r="D414" s="6" t="s">
        <v>20</v>
      </c>
      <c r="E414" s="6" t="s">
        <v>107</v>
      </c>
      <c r="F414" s="4">
        <v>26033.497137220984</v>
      </c>
    </row>
    <row r="415" spans="2:6" x14ac:dyDescent="0.25">
      <c r="B415" s="5">
        <v>41202</v>
      </c>
      <c r="C415" s="6" t="s">
        <v>14</v>
      </c>
      <c r="D415" s="6" t="s">
        <v>20</v>
      </c>
      <c r="E415" s="6" t="s">
        <v>156</v>
      </c>
      <c r="F415" s="4">
        <v>27582.48179745681</v>
      </c>
    </row>
    <row r="416" spans="2:6" x14ac:dyDescent="0.25">
      <c r="B416" s="5">
        <v>41206</v>
      </c>
      <c r="C416" s="6" t="s">
        <v>5</v>
      </c>
      <c r="D416" s="6" t="s">
        <v>6</v>
      </c>
      <c r="E416" s="6" t="s">
        <v>146</v>
      </c>
      <c r="F416" s="4">
        <v>34064.275822871336</v>
      </c>
    </row>
    <row r="417" spans="2:6" x14ac:dyDescent="0.25">
      <c r="B417" s="5">
        <v>41209</v>
      </c>
      <c r="C417" s="6" t="s">
        <v>5</v>
      </c>
      <c r="D417" s="6" t="s">
        <v>35</v>
      </c>
      <c r="E417" s="6" t="s">
        <v>115</v>
      </c>
      <c r="F417" s="4">
        <v>67243.273725910301</v>
      </c>
    </row>
    <row r="418" spans="2:6" x14ac:dyDescent="0.25">
      <c r="B418" s="5">
        <v>41210</v>
      </c>
      <c r="C418" s="6" t="s">
        <v>5</v>
      </c>
      <c r="D418" s="6" t="s">
        <v>12</v>
      </c>
      <c r="E418" s="6" t="s">
        <v>63</v>
      </c>
      <c r="F418" s="4">
        <v>25294.023070214109</v>
      </c>
    </row>
    <row r="419" spans="2:6" x14ac:dyDescent="0.25">
      <c r="B419" s="5">
        <v>41212</v>
      </c>
      <c r="C419" s="6" t="s">
        <v>8</v>
      </c>
      <c r="D419" s="6" t="s">
        <v>6</v>
      </c>
      <c r="E419" s="6" t="s">
        <v>139</v>
      </c>
      <c r="F419" s="4">
        <v>85009.875323164641</v>
      </c>
    </row>
    <row r="420" spans="2:6" x14ac:dyDescent="0.25">
      <c r="B420" s="5">
        <v>41213</v>
      </c>
      <c r="C420" s="6" t="s">
        <v>8</v>
      </c>
      <c r="D420" s="6" t="s">
        <v>6</v>
      </c>
      <c r="E420" s="6" t="s">
        <v>152</v>
      </c>
      <c r="F420" s="4">
        <v>43946.691675751077</v>
      </c>
    </row>
    <row r="421" spans="2:6" x14ac:dyDescent="0.25">
      <c r="B421" s="5">
        <v>41215</v>
      </c>
      <c r="C421" s="6" t="s">
        <v>14</v>
      </c>
      <c r="D421" s="6" t="s">
        <v>18</v>
      </c>
      <c r="E421" s="6" t="s">
        <v>130</v>
      </c>
      <c r="F421" s="4">
        <v>34618.167372145464</v>
      </c>
    </row>
    <row r="422" spans="2:6" x14ac:dyDescent="0.25">
      <c r="B422" s="5">
        <v>41215</v>
      </c>
      <c r="C422" s="6" t="s">
        <v>5</v>
      </c>
      <c r="D422" s="6" t="s">
        <v>20</v>
      </c>
      <c r="E422" s="6" t="s">
        <v>41</v>
      </c>
      <c r="F422" s="4">
        <v>12717.378290876502</v>
      </c>
    </row>
    <row r="423" spans="2:6" x14ac:dyDescent="0.25">
      <c r="B423" s="5">
        <v>41216</v>
      </c>
      <c r="C423" s="6" t="s">
        <v>5</v>
      </c>
      <c r="D423" s="6" t="s">
        <v>15</v>
      </c>
      <c r="E423" s="6" t="s">
        <v>169</v>
      </c>
      <c r="F423" s="4">
        <v>34831.237522522388</v>
      </c>
    </row>
    <row r="424" spans="2:6" x14ac:dyDescent="0.25">
      <c r="B424" s="5">
        <v>41222</v>
      </c>
      <c r="C424" s="6" t="s">
        <v>14</v>
      </c>
      <c r="D424" s="6" t="s">
        <v>12</v>
      </c>
      <c r="E424" s="6" t="s">
        <v>126</v>
      </c>
      <c r="F424" s="4">
        <v>22179.815243500816</v>
      </c>
    </row>
    <row r="425" spans="2:6" x14ac:dyDescent="0.25">
      <c r="B425" s="5">
        <v>41223</v>
      </c>
      <c r="C425" s="6" t="s">
        <v>8</v>
      </c>
      <c r="D425" s="6" t="s">
        <v>46</v>
      </c>
      <c r="E425" s="6" t="s">
        <v>142</v>
      </c>
      <c r="F425" s="4">
        <v>25511.047442931667</v>
      </c>
    </row>
    <row r="426" spans="2:6" x14ac:dyDescent="0.25">
      <c r="B426" s="5">
        <v>41225</v>
      </c>
      <c r="C426" s="6" t="s">
        <v>5</v>
      </c>
      <c r="D426" s="6" t="s">
        <v>33</v>
      </c>
      <c r="E426" s="6" t="s">
        <v>79</v>
      </c>
      <c r="F426" s="4">
        <v>53880.579373248154</v>
      </c>
    </row>
    <row r="427" spans="2:6" x14ac:dyDescent="0.25">
      <c r="B427" s="5">
        <v>41226</v>
      </c>
      <c r="C427" s="6" t="s">
        <v>14</v>
      </c>
      <c r="D427" s="6" t="s">
        <v>23</v>
      </c>
      <c r="E427" s="6" t="s">
        <v>171</v>
      </c>
      <c r="F427" s="4">
        <v>87052.201488977662</v>
      </c>
    </row>
    <row r="428" spans="2:6" x14ac:dyDescent="0.25">
      <c r="B428" s="5">
        <v>41227</v>
      </c>
      <c r="C428" s="6" t="s">
        <v>11</v>
      </c>
      <c r="D428" s="6" t="s">
        <v>15</v>
      </c>
      <c r="E428" s="6" t="s">
        <v>181</v>
      </c>
      <c r="F428" s="4">
        <v>58182.848593372473</v>
      </c>
    </row>
    <row r="429" spans="2:6" x14ac:dyDescent="0.25">
      <c r="B429" s="5">
        <v>41228</v>
      </c>
      <c r="C429" s="6" t="s">
        <v>14</v>
      </c>
      <c r="D429" s="6" t="s">
        <v>20</v>
      </c>
      <c r="E429" s="6" t="s">
        <v>121</v>
      </c>
      <c r="F429" s="4">
        <v>12123.898616512583</v>
      </c>
    </row>
    <row r="430" spans="2:6" x14ac:dyDescent="0.25">
      <c r="B430" s="5">
        <v>41229</v>
      </c>
      <c r="C430" s="6" t="s">
        <v>5</v>
      </c>
      <c r="D430" s="6" t="s">
        <v>18</v>
      </c>
      <c r="E430" s="6" t="s">
        <v>30</v>
      </c>
      <c r="F430" s="4">
        <v>65482.920456762193</v>
      </c>
    </row>
    <row r="431" spans="2:6" x14ac:dyDescent="0.25">
      <c r="B431" s="5">
        <v>41232</v>
      </c>
      <c r="C431" s="6" t="s">
        <v>5</v>
      </c>
      <c r="D431" s="6" t="s">
        <v>40</v>
      </c>
      <c r="E431" s="6" t="s">
        <v>145</v>
      </c>
      <c r="F431" s="4">
        <v>40405.443130165033</v>
      </c>
    </row>
    <row r="432" spans="2:6" x14ac:dyDescent="0.25">
      <c r="B432" s="5">
        <v>41232</v>
      </c>
      <c r="C432" s="6" t="s">
        <v>5</v>
      </c>
      <c r="D432" s="6" t="s">
        <v>46</v>
      </c>
      <c r="E432" s="6" t="s">
        <v>36</v>
      </c>
      <c r="F432" s="4">
        <v>99313.700722632333</v>
      </c>
    </row>
    <row r="433" spans="2:6" x14ac:dyDescent="0.25">
      <c r="B433" s="5">
        <v>41233</v>
      </c>
      <c r="C433" s="6" t="s">
        <v>5</v>
      </c>
      <c r="D433" s="6" t="s">
        <v>35</v>
      </c>
      <c r="E433" s="6" t="s">
        <v>176</v>
      </c>
      <c r="F433" s="4">
        <v>31164.000263496484</v>
      </c>
    </row>
    <row r="434" spans="2:6" x14ac:dyDescent="0.25">
      <c r="B434" s="5">
        <v>41234</v>
      </c>
      <c r="C434" s="6" t="s">
        <v>14</v>
      </c>
      <c r="D434" s="6" t="s">
        <v>18</v>
      </c>
      <c r="E434" s="6" t="s">
        <v>135</v>
      </c>
      <c r="F434" s="4">
        <v>83045.72837344202</v>
      </c>
    </row>
    <row r="435" spans="2:6" x14ac:dyDescent="0.25">
      <c r="B435" s="5">
        <v>41234</v>
      </c>
      <c r="C435" s="6" t="s">
        <v>14</v>
      </c>
      <c r="D435" s="6" t="s">
        <v>12</v>
      </c>
      <c r="E435" s="6" t="s">
        <v>164</v>
      </c>
      <c r="F435" s="4">
        <v>93222.802112754041</v>
      </c>
    </row>
    <row r="436" spans="2:6" x14ac:dyDescent="0.25">
      <c r="B436" s="5">
        <v>41235</v>
      </c>
      <c r="C436" s="6" t="s">
        <v>11</v>
      </c>
      <c r="D436" s="6" t="s">
        <v>20</v>
      </c>
      <c r="E436" s="6" t="s">
        <v>106</v>
      </c>
      <c r="F436" s="4">
        <v>39254.734727877541</v>
      </c>
    </row>
    <row r="437" spans="2:6" x14ac:dyDescent="0.25">
      <c r="B437" s="5">
        <v>41237</v>
      </c>
      <c r="C437" s="6" t="s">
        <v>11</v>
      </c>
      <c r="D437" s="6" t="s">
        <v>6</v>
      </c>
      <c r="E437" s="6" t="s">
        <v>22</v>
      </c>
      <c r="F437" s="4">
        <v>54398.551712051049</v>
      </c>
    </row>
    <row r="438" spans="2:6" x14ac:dyDescent="0.25">
      <c r="B438" s="5">
        <v>41237</v>
      </c>
      <c r="C438" s="6" t="s">
        <v>8</v>
      </c>
      <c r="D438" s="6" t="s">
        <v>18</v>
      </c>
      <c r="E438" s="6" t="s">
        <v>176</v>
      </c>
      <c r="F438" s="4">
        <v>94287.24030983483</v>
      </c>
    </row>
    <row r="439" spans="2:6" x14ac:dyDescent="0.25">
      <c r="B439" s="5">
        <v>41239</v>
      </c>
      <c r="C439" s="6" t="s">
        <v>5</v>
      </c>
      <c r="D439" s="6" t="s">
        <v>35</v>
      </c>
      <c r="E439" s="6" t="s">
        <v>75</v>
      </c>
      <c r="F439" s="4">
        <v>27939.921884657171</v>
      </c>
    </row>
    <row r="440" spans="2:6" x14ac:dyDescent="0.25">
      <c r="B440" s="5">
        <v>41240</v>
      </c>
      <c r="C440" s="6" t="s">
        <v>14</v>
      </c>
      <c r="D440" s="6" t="s">
        <v>33</v>
      </c>
      <c r="E440" s="6" t="s">
        <v>102</v>
      </c>
      <c r="F440" s="4">
        <v>90356.009875906035</v>
      </c>
    </row>
    <row r="441" spans="2:6" x14ac:dyDescent="0.25">
      <c r="B441" s="5">
        <v>41248</v>
      </c>
      <c r="C441" s="6" t="s">
        <v>5</v>
      </c>
      <c r="D441" s="6" t="s">
        <v>46</v>
      </c>
      <c r="E441" s="6" t="s">
        <v>75</v>
      </c>
      <c r="F441" s="4">
        <v>97911.598434084473</v>
      </c>
    </row>
    <row r="442" spans="2:6" x14ac:dyDescent="0.25">
      <c r="B442" s="5">
        <v>41248</v>
      </c>
      <c r="C442" s="6" t="s">
        <v>8</v>
      </c>
      <c r="D442" s="6" t="s">
        <v>28</v>
      </c>
      <c r="E442" s="6" t="s">
        <v>31</v>
      </c>
      <c r="F442" s="4">
        <v>43291.390324331434</v>
      </c>
    </row>
    <row r="443" spans="2:6" x14ac:dyDescent="0.25">
      <c r="B443" s="5">
        <v>41253</v>
      </c>
      <c r="C443" s="6" t="s">
        <v>5</v>
      </c>
      <c r="D443" s="6" t="s">
        <v>23</v>
      </c>
      <c r="E443" s="6" t="s">
        <v>29</v>
      </c>
      <c r="F443" s="4">
        <v>84538.889790592439</v>
      </c>
    </row>
    <row r="444" spans="2:6" x14ac:dyDescent="0.25">
      <c r="B444" s="5">
        <v>41257</v>
      </c>
      <c r="C444" s="6" t="s">
        <v>5</v>
      </c>
      <c r="D444" s="6" t="s">
        <v>33</v>
      </c>
      <c r="E444" s="6" t="s">
        <v>69</v>
      </c>
      <c r="F444" s="4">
        <v>71954.757204373891</v>
      </c>
    </row>
    <row r="445" spans="2:6" x14ac:dyDescent="0.25">
      <c r="B445" s="5">
        <v>41260</v>
      </c>
      <c r="C445" s="6" t="s">
        <v>5</v>
      </c>
      <c r="D445" s="6" t="s">
        <v>20</v>
      </c>
      <c r="E445" s="6" t="s">
        <v>174</v>
      </c>
      <c r="F445" s="4">
        <v>81109.283831844135</v>
      </c>
    </row>
    <row r="446" spans="2:6" x14ac:dyDescent="0.25">
      <c r="B446" s="5">
        <v>41260</v>
      </c>
      <c r="C446" s="6" t="s">
        <v>5</v>
      </c>
      <c r="D446" s="6" t="s">
        <v>9</v>
      </c>
      <c r="E446" s="6" t="s">
        <v>84</v>
      </c>
      <c r="F446" s="4">
        <v>34279.288220170536</v>
      </c>
    </row>
    <row r="447" spans="2:6" x14ac:dyDescent="0.25">
      <c r="B447" s="5">
        <v>41260</v>
      </c>
      <c r="C447" s="6" t="s">
        <v>5</v>
      </c>
      <c r="D447" s="6" t="s">
        <v>20</v>
      </c>
      <c r="E447" s="6" t="s">
        <v>143</v>
      </c>
      <c r="F447" s="4">
        <v>94816.81092986025</v>
      </c>
    </row>
    <row r="448" spans="2:6" x14ac:dyDescent="0.25">
      <c r="B448" s="5">
        <v>41261</v>
      </c>
      <c r="C448" s="6" t="s">
        <v>14</v>
      </c>
      <c r="D448" s="6" t="s">
        <v>20</v>
      </c>
      <c r="E448" s="6" t="s">
        <v>37</v>
      </c>
      <c r="F448" s="4">
        <v>96461.886398059927</v>
      </c>
    </row>
    <row r="449" spans="2:6" x14ac:dyDescent="0.25">
      <c r="B449" s="5">
        <v>41261</v>
      </c>
      <c r="C449" s="6" t="s">
        <v>14</v>
      </c>
      <c r="D449" s="6" t="s">
        <v>15</v>
      </c>
      <c r="E449" s="6" t="s">
        <v>107</v>
      </c>
      <c r="F449" s="4">
        <v>97375.848987352467</v>
      </c>
    </row>
    <row r="450" spans="2:6" x14ac:dyDescent="0.25">
      <c r="B450" s="5">
        <v>41262</v>
      </c>
      <c r="C450" s="6" t="s">
        <v>11</v>
      </c>
      <c r="D450" s="6" t="s">
        <v>46</v>
      </c>
      <c r="E450" s="6" t="s">
        <v>121</v>
      </c>
      <c r="F450" s="4">
        <v>57513.128570417197</v>
      </c>
    </row>
    <row r="451" spans="2:6" x14ac:dyDescent="0.25">
      <c r="B451" s="5">
        <v>41262</v>
      </c>
      <c r="C451" s="6" t="s">
        <v>5</v>
      </c>
      <c r="D451" s="6" t="s">
        <v>23</v>
      </c>
      <c r="E451" s="6" t="s">
        <v>182</v>
      </c>
      <c r="F451" s="4">
        <v>73426.508081502107</v>
      </c>
    </row>
    <row r="452" spans="2:6" x14ac:dyDescent="0.25">
      <c r="B452" s="5">
        <v>41265</v>
      </c>
      <c r="C452" s="6" t="s">
        <v>8</v>
      </c>
      <c r="D452" s="6" t="s">
        <v>46</v>
      </c>
      <c r="E452" s="6" t="s">
        <v>104</v>
      </c>
      <c r="F452" s="4">
        <v>39722.47467697008</v>
      </c>
    </row>
    <row r="453" spans="2:6" x14ac:dyDescent="0.25">
      <c r="B453" s="5">
        <v>41266</v>
      </c>
      <c r="C453" s="6" t="s">
        <v>5</v>
      </c>
      <c r="D453" s="6" t="s">
        <v>43</v>
      </c>
      <c r="E453" s="6" t="s">
        <v>141</v>
      </c>
      <c r="F453" s="4">
        <v>38390.891499441204</v>
      </c>
    </row>
    <row r="454" spans="2:6" x14ac:dyDescent="0.25">
      <c r="B454" s="5">
        <v>41266</v>
      </c>
      <c r="C454" s="6" t="s">
        <v>5</v>
      </c>
      <c r="D454" s="6" t="s">
        <v>33</v>
      </c>
      <c r="E454" s="6" t="s">
        <v>48</v>
      </c>
      <c r="F454" s="4">
        <v>15853.185309227792</v>
      </c>
    </row>
    <row r="455" spans="2:6" x14ac:dyDescent="0.25">
      <c r="B455" s="5">
        <v>41268</v>
      </c>
      <c r="C455" s="6" t="s">
        <v>8</v>
      </c>
      <c r="D455" s="6" t="s">
        <v>20</v>
      </c>
      <c r="E455" s="6" t="s">
        <v>106</v>
      </c>
      <c r="F455" s="4">
        <v>22844.940411826828</v>
      </c>
    </row>
    <row r="456" spans="2:6" x14ac:dyDescent="0.25">
      <c r="B456" s="5">
        <v>41270</v>
      </c>
      <c r="C456" s="6" t="s">
        <v>8</v>
      </c>
      <c r="D456" s="6" t="s">
        <v>33</v>
      </c>
      <c r="E456" s="6" t="s">
        <v>86</v>
      </c>
      <c r="F456" s="4">
        <v>49898.371288252514</v>
      </c>
    </row>
    <row r="457" spans="2:6" x14ac:dyDescent="0.25">
      <c r="B457" s="5">
        <v>41272</v>
      </c>
      <c r="C457" s="6" t="s">
        <v>8</v>
      </c>
      <c r="D457" s="6" t="s">
        <v>46</v>
      </c>
      <c r="E457" s="6" t="s">
        <v>84</v>
      </c>
      <c r="F457" s="4">
        <v>15220.552750690604</v>
      </c>
    </row>
    <row r="458" spans="2:6" x14ac:dyDescent="0.25">
      <c r="B458" s="5">
        <v>41280</v>
      </c>
      <c r="C458" s="6" t="s">
        <v>5</v>
      </c>
      <c r="D458" s="6" t="s">
        <v>15</v>
      </c>
      <c r="E458" s="6" t="s">
        <v>19</v>
      </c>
      <c r="F458" s="4">
        <v>87458.385772467547</v>
      </c>
    </row>
    <row r="459" spans="2:6" x14ac:dyDescent="0.25">
      <c r="B459" s="5">
        <v>41280</v>
      </c>
      <c r="C459" s="6" t="s">
        <v>5</v>
      </c>
      <c r="D459" s="6" t="s">
        <v>33</v>
      </c>
      <c r="E459" s="6" t="s">
        <v>183</v>
      </c>
      <c r="F459" s="4">
        <v>37002.192083999878</v>
      </c>
    </row>
    <row r="460" spans="2:6" x14ac:dyDescent="0.25">
      <c r="B460" s="5">
        <v>41283</v>
      </c>
      <c r="C460" s="6" t="s">
        <v>5</v>
      </c>
      <c r="D460" s="6" t="s">
        <v>26</v>
      </c>
      <c r="E460" s="6" t="s">
        <v>122</v>
      </c>
      <c r="F460" s="4">
        <v>11174.513422480997</v>
      </c>
    </row>
    <row r="461" spans="2:6" x14ac:dyDescent="0.25">
      <c r="B461" s="5">
        <v>41284</v>
      </c>
      <c r="C461" s="6" t="s">
        <v>5</v>
      </c>
      <c r="D461" s="6" t="s">
        <v>26</v>
      </c>
      <c r="E461" s="6" t="s">
        <v>113</v>
      </c>
      <c r="F461" s="4">
        <v>63922.303919917584</v>
      </c>
    </row>
    <row r="462" spans="2:6" x14ac:dyDescent="0.25">
      <c r="B462" s="5">
        <v>41285</v>
      </c>
      <c r="C462" s="6" t="s">
        <v>8</v>
      </c>
      <c r="D462" s="6" t="s">
        <v>9</v>
      </c>
      <c r="E462" s="6" t="s">
        <v>34</v>
      </c>
      <c r="F462" s="4">
        <v>35529.383342439658</v>
      </c>
    </row>
    <row r="463" spans="2:6" x14ac:dyDescent="0.25">
      <c r="B463" s="5">
        <v>41290</v>
      </c>
      <c r="C463" s="6" t="s">
        <v>5</v>
      </c>
      <c r="D463" s="6" t="s">
        <v>46</v>
      </c>
      <c r="E463" s="6" t="s">
        <v>101</v>
      </c>
      <c r="F463" s="4">
        <v>71819.992144431613</v>
      </c>
    </row>
    <row r="464" spans="2:6" x14ac:dyDescent="0.25">
      <c r="B464" s="5">
        <v>41293</v>
      </c>
      <c r="C464" s="6" t="s">
        <v>8</v>
      </c>
      <c r="D464" s="6" t="s">
        <v>15</v>
      </c>
      <c r="E464" s="6" t="s">
        <v>97</v>
      </c>
      <c r="F464" s="4">
        <v>27202.285249593584</v>
      </c>
    </row>
    <row r="465" spans="2:6" x14ac:dyDescent="0.25">
      <c r="B465" s="5">
        <v>41299</v>
      </c>
      <c r="C465" s="6" t="s">
        <v>14</v>
      </c>
      <c r="D465" s="6" t="s">
        <v>23</v>
      </c>
      <c r="E465" s="6" t="s">
        <v>53</v>
      </c>
      <c r="F465" s="4">
        <v>11637.485025920025</v>
      </c>
    </row>
    <row r="466" spans="2:6" x14ac:dyDescent="0.25">
      <c r="B466" s="5">
        <v>41300</v>
      </c>
      <c r="C466" s="6" t="s">
        <v>5</v>
      </c>
      <c r="D466" s="6" t="s">
        <v>15</v>
      </c>
      <c r="E466" s="6" t="s">
        <v>52</v>
      </c>
      <c r="F466" s="4">
        <v>49177.757614206974</v>
      </c>
    </row>
    <row r="467" spans="2:6" x14ac:dyDescent="0.25">
      <c r="B467" s="5">
        <v>41302</v>
      </c>
      <c r="C467" s="6" t="s">
        <v>5</v>
      </c>
      <c r="D467" s="6" t="s">
        <v>12</v>
      </c>
      <c r="E467" s="6" t="s">
        <v>184</v>
      </c>
      <c r="F467" s="4">
        <v>26433.30668324919</v>
      </c>
    </row>
    <row r="468" spans="2:6" x14ac:dyDescent="0.25">
      <c r="B468" s="5">
        <v>41303</v>
      </c>
      <c r="C468" s="6" t="s">
        <v>5</v>
      </c>
      <c r="D468" s="6" t="s">
        <v>15</v>
      </c>
      <c r="E468" s="6" t="s">
        <v>121</v>
      </c>
      <c r="F468" s="4">
        <v>57984.206722651252</v>
      </c>
    </row>
    <row r="469" spans="2:6" x14ac:dyDescent="0.25">
      <c r="B469" s="5">
        <v>41305</v>
      </c>
      <c r="C469" s="6" t="s">
        <v>5</v>
      </c>
      <c r="D469" s="6" t="s">
        <v>33</v>
      </c>
      <c r="E469" s="6" t="s">
        <v>117</v>
      </c>
      <c r="F469" s="4">
        <v>89897.916728206634</v>
      </c>
    </row>
    <row r="470" spans="2:6" x14ac:dyDescent="0.25">
      <c r="B470" s="5">
        <v>41310</v>
      </c>
      <c r="C470" s="6" t="s">
        <v>14</v>
      </c>
      <c r="D470" s="6" t="s">
        <v>35</v>
      </c>
      <c r="E470" s="6" t="s">
        <v>173</v>
      </c>
      <c r="F470" s="4">
        <v>34836.470778914794</v>
      </c>
    </row>
    <row r="471" spans="2:6" x14ac:dyDescent="0.25">
      <c r="B471" s="5">
        <v>41310</v>
      </c>
      <c r="C471" s="6" t="s">
        <v>14</v>
      </c>
      <c r="D471" s="6" t="s">
        <v>46</v>
      </c>
      <c r="E471" s="6" t="s">
        <v>111</v>
      </c>
      <c r="F471" s="4">
        <v>50225.605849755324</v>
      </c>
    </row>
    <row r="472" spans="2:6" x14ac:dyDescent="0.25">
      <c r="B472" s="5">
        <v>41313</v>
      </c>
      <c r="C472" s="6" t="s">
        <v>8</v>
      </c>
      <c r="D472" s="6" t="s">
        <v>23</v>
      </c>
      <c r="E472" s="6" t="s">
        <v>115</v>
      </c>
      <c r="F472" s="4">
        <v>17879.634951433574</v>
      </c>
    </row>
    <row r="473" spans="2:6" x14ac:dyDescent="0.25">
      <c r="B473" s="5">
        <v>41313</v>
      </c>
      <c r="C473" s="6" t="s">
        <v>14</v>
      </c>
      <c r="D473" s="6" t="s">
        <v>54</v>
      </c>
      <c r="E473" s="6" t="s">
        <v>134</v>
      </c>
      <c r="F473" s="4">
        <v>82908.600798116764</v>
      </c>
    </row>
    <row r="474" spans="2:6" x14ac:dyDescent="0.25">
      <c r="B474" s="5">
        <v>41315</v>
      </c>
      <c r="C474" s="6" t="s">
        <v>5</v>
      </c>
      <c r="D474" s="6" t="s">
        <v>35</v>
      </c>
      <c r="E474" s="6" t="s">
        <v>39</v>
      </c>
      <c r="F474" s="4">
        <v>34678.013793753555</v>
      </c>
    </row>
    <row r="475" spans="2:6" x14ac:dyDescent="0.25">
      <c r="B475" s="5">
        <v>41319</v>
      </c>
      <c r="C475" s="6" t="s">
        <v>5</v>
      </c>
      <c r="D475" s="6" t="s">
        <v>23</v>
      </c>
      <c r="E475" s="6" t="s">
        <v>137</v>
      </c>
      <c r="F475" s="4">
        <v>91178.056063446216</v>
      </c>
    </row>
    <row r="476" spans="2:6" x14ac:dyDescent="0.25">
      <c r="B476" s="5">
        <v>41321</v>
      </c>
      <c r="C476" s="6" t="s">
        <v>11</v>
      </c>
      <c r="D476" s="6" t="s">
        <v>26</v>
      </c>
      <c r="E476" s="6" t="s">
        <v>113</v>
      </c>
      <c r="F476" s="4">
        <v>60313.017180596988</v>
      </c>
    </row>
    <row r="477" spans="2:6" x14ac:dyDescent="0.25">
      <c r="B477" s="5">
        <v>41323</v>
      </c>
      <c r="C477" s="6" t="s">
        <v>8</v>
      </c>
      <c r="D477" s="6" t="s">
        <v>43</v>
      </c>
      <c r="E477" s="6" t="s">
        <v>185</v>
      </c>
      <c r="F477" s="4">
        <v>41020.989844892887</v>
      </c>
    </row>
    <row r="478" spans="2:6" x14ac:dyDescent="0.25">
      <c r="B478" s="5">
        <v>41325</v>
      </c>
      <c r="C478" s="6" t="s">
        <v>14</v>
      </c>
      <c r="D478" s="6" t="s">
        <v>12</v>
      </c>
      <c r="E478" s="6" t="s">
        <v>10</v>
      </c>
      <c r="F478" s="4">
        <v>91713.916283820188</v>
      </c>
    </row>
    <row r="479" spans="2:6" x14ac:dyDescent="0.25">
      <c r="B479" s="5">
        <v>41326</v>
      </c>
      <c r="C479" s="6" t="s">
        <v>11</v>
      </c>
      <c r="D479" s="6" t="s">
        <v>12</v>
      </c>
      <c r="E479" s="6" t="s">
        <v>133</v>
      </c>
      <c r="F479" s="4">
        <v>65260.1120428266</v>
      </c>
    </row>
    <row r="480" spans="2:6" x14ac:dyDescent="0.25">
      <c r="B480" s="5">
        <v>41327</v>
      </c>
      <c r="C480" s="6" t="s">
        <v>5</v>
      </c>
      <c r="D480" s="6" t="s">
        <v>12</v>
      </c>
      <c r="E480" s="6" t="s">
        <v>88</v>
      </c>
      <c r="F480" s="4">
        <v>38083.964273396377</v>
      </c>
    </row>
    <row r="481" spans="2:6" x14ac:dyDescent="0.25">
      <c r="B481" s="5">
        <v>41328</v>
      </c>
      <c r="C481" s="6" t="s">
        <v>5</v>
      </c>
      <c r="D481" s="6" t="s">
        <v>26</v>
      </c>
      <c r="E481" s="6" t="s">
        <v>25</v>
      </c>
      <c r="F481" s="4">
        <v>15265.464888035085</v>
      </c>
    </row>
    <row r="482" spans="2:6" x14ac:dyDescent="0.25">
      <c r="B482" s="5">
        <v>41331</v>
      </c>
      <c r="C482" s="6" t="s">
        <v>5</v>
      </c>
      <c r="D482" s="6" t="s">
        <v>15</v>
      </c>
      <c r="E482" s="6" t="s">
        <v>84</v>
      </c>
      <c r="F482" s="4">
        <v>73242.083194142382</v>
      </c>
    </row>
    <row r="483" spans="2:6" x14ac:dyDescent="0.25">
      <c r="B483" s="5">
        <v>41334</v>
      </c>
      <c r="C483" s="6" t="s">
        <v>5</v>
      </c>
      <c r="D483" s="6" t="s">
        <v>35</v>
      </c>
      <c r="E483" s="6" t="s">
        <v>176</v>
      </c>
      <c r="F483" s="4">
        <v>36277.300158574566</v>
      </c>
    </row>
    <row r="484" spans="2:6" x14ac:dyDescent="0.25">
      <c r="B484" s="5">
        <v>41334</v>
      </c>
      <c r="C484" s="6" t="s">
        <v>11</v>
      </c>
      <c r="D484" s="6" t="s">
        <v>54</v>
      </c>
      <c r="E484" s="6" t="s">
        <v>104</v>
      </c>
      <c r="F484" s="4">
        <v>78996.439683023025</v>
      </c>
    </row>
    <row r="485" spans="2:6" x14ac:dyDescent="0.25">
      <c r="B485" s="5">
        <v>41343</v>
      </c>
      <c r="C485" s="6" t="s">
        <v>8</v>
      </c>
      <c r="D485" s="6" t="s">
        <v>26</v>
      </c>
      <c r="E485" s="6" t="s">
        <v>19</v>
      </c>
      <c r="F485" s="4">
        <v>63742.698561614146</v>
      </c>
    </row>
    <row r="486" spans="2:6" x14ac:dyDescent="0.25">
      <c r="B486" s="5">
        <v>41344</v>
      </c>
      <c r="C486" s="6" t="s">
        <v>11</v>
      </c>
      <c r="D486" s="6" t="s">
        <v>18</v>
      </c>
      <c r="E486" s="6" t="s">
        <v>51</v>
      </c>
      <c r="F486" s="4">
        <v>30639.648394456377</v>
      </c>
    </row>
    <row r="487" spans="2:6" x14ac:dyDescent="0.25">
      <c r="B487" s="5">
        <v>41349</v>
      </c>
      <c r="C487" s="6" t="s">
        <v>5</v>
      </c>
      <c r="D487" s="6" t="s">
        <v>35</v>
      </c>
      <c r="E487" s="6" t="s">
        <v>186</v>
      </c>
      <c r="F487" s="4">
        <v>57850.598917589501</v>
      </c>
    </row>
    <row r="488" spans="2:6" x14ac:dyDescent="0.25">
      <c r="B488" s="5">
        <v>41350</v>
      </c>
      <c r="C488" s="6" t="s">
        <v>5</v>
      </c>
      <c r="D488" s="6" t="s">
        <v>20</v>
      </c>
      <c r="E488" s="6" t="s">
        <v>187</v>
      </c>
      <c r="F488" s="4">
        <v>98063.381474030961</v>
      </c>
    </row>
    <row r="489" spans="2:6" x14ac:dyDescent="0.25">
      <c r="B489" s="5">
        <v>41351</v>
      </c>
      <c r="C489" s="6" t="s">
        <v>14</v>
      </c>
      <c r="D489" s="6" t="s">
        <v>54</v>
      </c>
      <c r="E489" s="6" t="s">
        <v>76</v>
      </c>
      <c r="F489" s="4">
        <v>75816.759768043557</v>
      </c>
    </row>
    <row r="490" spans="2:6" x14ac:dyDescent="0.25">
      <c r="B490" s="5">
        <v>41353</v>
      </c>
      <c r="C490" s="6" t="s">
        <v>11</v>
      </c>
      <c r="D490" s="6" t="s">
        <v>23</v>
      </c>
      <c r="E490" s="6" t="s">
        <v>95</v>
      </c>
      <c r="F490" s="4">
        <v>74818.625335289835</v>
      </c>
    </row>
    <row r="491" spans="2:6" x14ac:dyDescent="0.25">
      <c r="B491" s="5">
        <v>41355</v>
      </c>
      <c r="C491" s="6" t="s">
        <v>5</v>
      </c>
      <c r="D491" s="6" t="s">
        <v>28</v>
      </c>
      <c r="E491" s="6" t="s">
        <v>22</v>
      </c>
      <c r="F491" s="4">
        <v>11469.303824411016</v>
      </c>
    </row>
    <row r="492" spans="2:6" x14ac:dyDescent="0.25">
      <c r="B492" s="5">
        <v>41355</v>
      </c>
      <c r="C492" s="6" t="s">
        <v>5</v>
      </c>
      <c r="D492" s="6" t="s">
        <v>54</v>
      </c>
      <c r="E492" s="6" t="s">
        <v>185</v>
      </c>
      <c r="F492" s="4">
        <v>16986.563241321201</v>
      </c>
    </row>
    <row r="493" spans="2:6" x14ac:dyDescent="0.25">
      <c r="B493" s="5">
        <v>41356</v>
      </c>
      <c r="C493" s="6" t="s">
        <v>8</v>
      </c>
      <c r="D493" s="6" t="s">
        <v>12</v>
      </c>
      <c r="E493" s="6" t="s">
        <v>112</v>
      </c>
      <c r="F493" s="4">
        <v>14791.036109958195</v>
      </c>
    </row>
    <row r="494" spans="2:6" x14ac:dyDescent="0.25">
      <c r="B494" s="5">
        <v>41356</v>
      </c>
      <c r="C494" s="6" t="s">
        <v>5</v>
      </c>
      <c r="D494" s="6" t="s">
        <v>15</v>
      </c>
      <c r="E494" s="6" t="s">
        <v>148</v>
      </c>
      <c r="F494" s="4">
        <v>74205.780040382611</v>
      </c>
    </row>
    <row r="495" spans="2:6" x14ac:dyDescent="0.25">
      <c r="B495" s="5">
        <v>41359</v>
      </c>
      <c r="C495" s="6" t="s">
        <v>11</v>
      </c>
      <c r="D495" s="6" t="s">
        <v>9</v>
      </c>
      <c r="E495" s="6" t="s">
        <v>151</v>
      </c>
      <c r="F495" s="4">
        <v>90989.611344967358</v>
      </c>
    </row>
    <row r="496" spans="2:6" x14ac:dyDescent="0.25">
      <c r="B496" s="5">
        <v>41361</v>
      </c>
      <c r="C496" s="6" t="s">
        <v>8</v>
      </c>
      <c r="D496" s="6" t="s">
        <v>12</v>
      </c>
      <c r="E496" s="6" t="s">
        <v>165</v>
      </c>
      <c r="F496" s="4">
        <v>51469.560842739855</v>
      </c>
    </row>
    <row r="497" spans="2:6" x14ac:dyDescent="0.25">
      <c r="B497" s="5">
        <v>41362</v>
      </c>
      <c r="C497" s="6" t="s">
        <v>5</v>
      </c>
      <c r="D497" s="6" t="s">
        <v>15</v>
      </c>
      <c r="E497" s="6" t="s">
        <v>138</v>
      </c>
      <c r="F497" s="4">
        <v>60720.258905787006</v>
      </c>
    </row>
    <row r="498" spans="2:6" x14ac:dyDescent="0.25">
      <c r="B498" s="5">
        <v>41364</v>
      </c>
      <c r="C498" s="6" t="s">
        <v>5</v>
      </c>
      <c r="D498" s="6" t="s">
        <v>40</v>
      </c>
      <c r="E498" s="6" t="s">
        <v>53</v>
      </c>
      <c r="F498" s="4">
        <v>57378.114859215297</v>
      </c>
    </row>
    <row r="499" spans="2:6" x14ac:dyDescent="0.25">
      <c r="B499" s="5">
        <v>41364</v>
      </c>
      <c r="C499" s="6" t="s">
        <v>5</v>
      </c>
      <c r="D499" s="6" t="s">
        <v>12</v>
      </c>
      <c r="E499" s="6" t="s">
        <v>55</v>
      </c>
      <c r="F499" s="4">
        <v>18730.71546208912</v>
      </c>
    </row>
    <row r="500" spans="2:6" x14ac:dyDescent="0.25">
      <c r="B500" s="5">
        <v>41365</v>
      </c>
      <c r="C500" s="6" t="s">
        <v>5</v>
      </c>
      <c r="D500" s="6" t="s">
        <v>6</v>
      </c>
      <c r="E500" s="6" t="s">
        <v>85</v>
      </c>
      <c r="F500" s="4">
        <v>34678.656355688705</v>
      </c>
    </row>
    <row r="501" spans="2:6" x14ac:dyDescent="0.25">
      <c r="B501" s="5">
        <v>41367</v>
      </c>
      <c r="C501" s="6" t="s">
        <v>8</v>
      </c>
      <c r="D501" s="6" t="s">
        <v>33</v>
      </c>
      <c r="E501" s="6" t="s">
        <v>145</v>
      </c>
      <c r="F501" s="4">
        <v>92202.183726978517</v>
      </c>
    </row>
    <row r="502" spans="2:6" x14ac:dyDescent="0.25">
      <c r="B502" s="5">
        <v>41368</v>
      </c>
      <c r="C502" s="6" t="s">
        <v>5</v>
      </c>
      <c r="D502" s="6" t="s">
        <v>33</v>
      </c>
      <c r="E502" s="6" t="s">
        <v>116</v>
      </c>
      <c r="F502" s="4">
        <v>58886.409542325098</v>
      </c>
    </row>
    <row r="503" spans="2:6" x14ac:dyDescent="0.25">
      <c r="B503" s="5">
        <v>41370</v>
      </c>
      <c r="C503" s="6" t="s">
        <v>5</v>
      </c>
      <c r="D503" s="6" t="s">
        <v>54</v>
      </c>
      <c r="E503" s="6" t="s">
        <v>89</v>
      </c>
      <c r="F503" s="4">
        <v>28885.217982052192</v>
      </c>
    </row>
    <row r="504" spans="2:6" x14ac:dyDescent="0.25">
      <c r="B504" s="5">
        <v>41371</v>
      </c>
      <c r="C504" s="6" t="s">
        <v>5</v>
      </c>
      <c r="D504" s="6" t="s">
        <v>26</v>
      </c>
      <c r="E504" s="6" t="s">
        <v>87</v>
      </c>
      <c r="F504" s="4">
        <v>93524.393879498108</v>
      </c>
    </row>
    <row r="505" spans="2:6" x14ac:dyDescent="0.25">
      <c r="B505" s="5">
        <v>41373</v>
      </c>
      <c r="C505" s="6" t="s">
        <v>11</v>
      </c>
      <c r="D505" s="6" t="s">
        <v>20</v>
      </c>
      <c r="E505" s="6" t="s">
        <v>188</v>
      </c>
      <c r="F505" s="4">
        <v>59128.746559858424</v>
      </c>
    </row>
    <row r="506" spans="2:6" x14ac:dyDescent="0.25">
      <c r="B506" s="5">
        <v>41375</v>
      </c>
      <c r="C506" s="6" t="s">
        <v>5</v>
      </c>
      <c r="D506" s="6" t="s">
        <v>9</v>
      </c>
      <c r="E506" s="6" t="s">
        <v>181</v>
      </c>
      <c r="F506" s="4">
        <v>70966.27362933589</v>
      </c>
    </row>
    <row r="507" spans="2:6" x14ac:dyDescent="0.25">
      <c r="B507" s="5">
        <v>41386</v>
      </c>
      <c r="C507" s="6" t="s">
        <v>5</v>
      </c>
      <c r="D507" s="6" t="s">
        <v>54</v>
      </c>
      <c r="E507" s="6" t="s">
        <v>95</v>
      </c>
      <c r="F507" s="4">
        <v>68262.601290933613</v>
      </c>
    </row>
    <row r="508" spans="2:6" x14ac:dyDescent="0.25">
      <c r="B508" s="5">
        <v>41387</v>
      </c>
      <c r="C508" s="6" t="s">
        <v>5</v>
      </c>
      <c r="D508" s="6" t="s">
        <v>28</v>
      </c>
      <c r="E508" s="6" t="s">
        <v>114</v>
      </c>
      <c r="F508" s="4">
        <v>53837.522732410303</v>
      </c>
    </row>
    <row r="509" spans="2:6" x14ac:dyDescent="0.25">
      <c r="B509" s="5">
        <v>41390</v>
      </c>
      <c r="C509" s="6" t="s">
        <v>5</v>
      </c>
      <c r="D509" s="6" t="s">
        <v>54</v>
      </c>
      <c r="E509" s="6" t="s">
        <v>131</v>
      </c>
      <c r="F509" s="4">
        <v>61774.730011112886</v>
      </c>
    </row>
    <row r="510" spans="2:6" x14ac:dyDescent="0.25">
      <c r="B510" s="5">
        <v>41394</v>
      </c>
      <c r="C510" s="6" t="s">
        <v>8</v>
      </c>
      <c r="D510" s="6" t="s">
        <v>9</v>
      </c>
      <c r="E510" s="6" t="s">
        <v>111</v>
      </c>
      <c r="F510" s="4">
        <v>59683.110971291775</v>
      </c>
    </row>
    <row r="511" spans="2:6" x14ac:dyDescent="0.25">
      <c r="B511" s="5">
        <v>41396</v>
      </c>
      <c r="C511" s="6" t="s">
        <v>14</v>
      </c>
      <c r="D511" s="6" t="s">
        <v>28</v>
      </c>
      <c r="E511" s="6" t="s">
        <v>79</v>
      </c>
      <c r="F511" s="4">
        <v>35980.495713369819</v>
      </c>
    </row>
    <row r="512" spans="2:6" x14ac:dyDescent="0.25">
      <c r="B512" s="5">
        <v>41402</v>
      </c>
      <c r="C512" s="6" t="s">
        <v>8</v>
      </c>
      <c r="D512" s="6" t="s">
        <v>40</v>
      </c>
      <c r="E512" s="6" t="s">
        <v>174</v>
      </c>
      <c r="F512" s="4">
        <v>25444.862433718292</v>
      </c>
    </row>
    <row r="513" spans="2:6" x14ac:dyDescent="0.25">
      <c r="B513" s="5">
        <v>41403</v>
      </c>
      <c r="C513" s="6" t="s">
        <v>11</v>
      </c>
      <c r="D513" s="6" t="s">
        <v>23</v>
      </c>
      <c r="E513" s="6" t="s">
        <v>52</v>
      </c>
      <c r="F513" s="4">
        <v>56501.608089529698</v>
      </c>
    </row>
    <row r="514" spans="2:6" x14ac:dyDescent="0.25">
      <c r="B514" s="5">
        <v>41406</v>
      </c>
      <c r="C514" s="6" t="s">
        <v>5</v>
      </c>
      <c r="D514" s="6" t="s">
        <v>28</v>
      </c>
      <c r="E514" s="6" t="s">
        <v>56</v>
      </c>
      <c r="F514" s="4">
        <v>97657.436890918805</v>
      </c>
    </row>
    <row r="515" spans="2:6" x14ac:dyDescent="0.25">
      <c r="B515" s="5">
        <v>41407</v>
      </c>
      <c r="C515" s="6" t="s">
        <v>8</v>
      </c>
      <c r="D515" s="6" t="s">
        <v>54</v>
      </c>
      <c r="E515" s="6" t="s">
        <v>100</v>
      </c>
      <c r="F515" s="4">
        <v>49533.931422471942</v>
      </c>
    </row>
    <row r="516" spans="2:6" x14ac:dyDescent="0.25">
      <c r="B516" s="5">
        <v>41407</v>
      </c>
      <c r="C516" s="6" t="s">
        <v>8</v>
      </c>
      <c r="D516" s="6" t="s">
        <v>46</v>
      </c>
      <c r="E516" s="6" t="s">
        <v>16</v>
      </c>
      <c r="F516" s="4">
        <v>50281.2679540303</v>
      </c>
    </row>
    <row r="517" spans="2:6" x14ac:dyDescent="0.25">
      <c r="B517" s="5">
        <v>41409</v>
      </c>
      <c r="C517" s="6" t="s">
        <v>14</v>
      </c>
      <c r="D517" s="6" t="s">
        <v>40</v>
      </c>
      <c r="E517" s="6" t="s">
        <v>153</v>
      </c>
      <c r="F517" s="4">
        <v>62272.650328520875</v>
      </c>
    </row>
    <row r="518" spans="2:6" x14ac:dyDescent="0.25">
      <c r="B518" s="5">
        <v>41409</v>
      </c>
      <c r="C518" s="6" t="s">
        <v>8</v>
      </c>
      <c r="D518" s="6" t="s">
        <v>20</v>
      </c>
      <c r="E518" s="6" t="s">
        <v>169</v>
      </c>
      <c r="F518" s="4">
        <v>64515.301614671727</v>
      </c>
    </row>
    <row r="519" spans="2:6" x14ac:dyDescent="0.25">
      <c r="B519" s="5">
        <v>41409</v>
      </c>
      <c r="C519" s="6" t="s">
        <v>5</v>
      </c>
      <c r="D519" s="6" t="s">
        <v>15</v>
      </c>
      <c r="E519" s="6" t="s">
        <v>110</v>
      </c>
      <c r="F519" s="4">
        <v>98134.034461751755</v>
      </c>
    </row>
    <row r="520" spans="2:6" x14ac:dyDescent="0.25">
      <c r="B520" s="5">
        <v>41414</v>
      </c>
      <c r="C520" s="6" t="s">
        <v>5</v>
      </c>
      <c r="D520" s="6" t="s">
        <v>26</v>
      </c>
      <c r="E520" s="6" t="s">
        <v>78</v>
      </c>
      <c r="F520" s="4">
        <v>16908.601155213822</v>
      </c>
    </row>
    <row r="521" spans="2:6" x14ac:dyDescent="0.25">
      <c r="B521" s="5">
        <v>41422</v>
      </c>
      <c r="C521" s="6" t="s">
        <v>8</v>
      </c>
      <c r="D521" s="6" t="s">
        <v>46</v>
      </c>
      <c r="E521" s="6" t="s">
        <v>17</v>
      </c>
      <c r="F521" s="4">
        <v>43507.581292138449</v>
      </c>
    </row>
    <row r="522" spans="2:6" x14ac:dyDescent="0.25">
      <c r="B522" s="5">
        <v>41422</v>
      </c>
      <c r="C522" s="6" t="s">
        <v>8</v>
      </c>
      <c r="D522" s="6" t="s">
        <v>54</v>
      </c>
      <c r="E522" s="6" t="s">
        <v>51</v>
      </c>
      <c r="F522" s="4">
        <v>84909.245900136302</v>
      </c>
    </row>
    <row r="523" spans="2:6" x14ac:dyDescent="0.25">
      <c r="B523" s="5">
        <v>41423</v>
      </c>
      <c r="C523" s="6" t="s">
        <v>8</v>
      </c>
      <c r="D523" s="6" t="s">
        <v>43</v>
      </c>
      <c r="E523" s="6" t="s">
        <v>49</v>
      </c>
      <c r="F523" s="4">
        <v>35363.38027236794</v>
      </c>
    </row>
    <row r="524" spans="2:6" x14ac:dyDescent="0.25">
      <c r="B524" s="5">
        <v>41425</v>
      </c>
      <c r="C524" s="6" t="s">
        <v>5</v>
      </c>
      <c r="D524" s="6" t="s">
        <v>46</v>
      </c>
      <c r="E524" s="6" t="s">
        <v>115</v>
      </c>
      <c r="F524" s="4">
        <v>46418.753060548028</v>
      </c>
    </row>
    <row r="525" spans="2:6" x14ac:dyDescent="0.25">
      <c r="B525" s="5">
        <v>41436</v>
      </c>
      <c r="C525" s="6" t="s">
        <v>5</v>
      </c>
      <c r="D525" s="6" t="s">
        <v>35</v>
      </c>
      <c r="E525" s="6" t="s">
        <v>114</v>
      </c>
      <c r="F525" s="4">
        <v>91945.207349424338</v>
      </c>
    </row>
    <row r="526" spans="2:6" x14ac:dyDescent="0.25">
      <c r="B526" s="5">
        <v>41438</v>
      </c>
      <c r="C526" s="6" t="s">
        <v>11</v>
      </c>
      <c r="D526" s="6" t="s">
        <v>23</v>
      </c>
      <c r="E526" s="6" t="s">
        <v>129</v>
      </c>
      <c r="F526" s="4">
        <v>84027.465964300864</v>
      </c>
    </row>
    <row r="527" spans="2:6" x14ac:dyDescent="0.25">
      <c r="B527" s="5">
        <v>41441</v>
      </c>
      <c r="C527" s="6" t="s">
        <v>5</v>
      </c>
      <c r="D527" s="6" t="s">
        <v>40</v>
      </c>
      <c r="E527" s="6" t="s">
        <v>53</v>
      </c>
      <c r="F527" s="4">
        <v>21404.051867892009</v>
      </c>
    </row>
    <row r="528" spans="2:6" x14ac:dyDescent="0.25">
      <c r="B528" s="5">
        <v>41441</v>
      </c>
      <c r="C528" s="6" t="s">
        <v>8</v>
      </c>
      <c r="D528" s="6" t="s">
        <v>43</v>
      </c>
      <c r="E528" s="6" t="s">
        <v>154</v>
      </c>
      <c r="F528" s="4">
        <v>29576.970117459972</v>
      </c>
    </row>
    <row r="529" spans="2:6" x14ac:dyDescent="0.25">
      <c r="B529" s="5">
        <v>41441</v>
      </c>
      <c r="C529" s="6" t="s">
        <v>8</v>
      </c>
      <c r="D529" s="6" t="s">
        <v>9</v>
      </c>
      <c r="E529" s="6" t="s">
        <v>167</v>
      </c>
      <c r="F529" s="4">
        <v>93891.199761779702</v>
      </c>
    </row>
    <row r="530" spans="2:6" x14ac:dyDescent="0.25">
      <c r="B530" s="5">
        <v>41443</v>
      </c>
      <c r="C530" s="6" t="s">
        <v>5</v>
      </c>
      <c r="D530" s="6" t="s">
        <v>26</v>
      </c>
      <c r="E530" s="6" t="s">
        <v>189</v>
      </c>
      <c r="F530" s="4">
        <v>88379.553767800928</v>
      </c>
    </row>
    <row r="531" spans="2:6" x14ac:dyDescent="0.25">
      <c r="B531" s="5">
        <v>41446</v>
      </c>
      <c r="C531" s="6" t="s">
        <v>5</v>
      </c>
      <c r="D531" s="6" t="s">
        <v>15</v>
      </c>
      <c r="E531" s="6" t="s">
        <v>165</v>
      </c>
      <c r="F531" s="4">
        <v>68163.748123999059</v>
      </c>
    </row>
    <row r="532" spans="2:6" x14ac:dyDescent="0.25">
      <c r="B532" s="5">
        <v>41452</v>
      </c>
      <c r="C532" s="6" t="s">
        <v>8</v>
      </c>
      <c r="D532" s="6" t="s">
        <v>33</v>
      </c>
      <c r="E532" s="6" t="s">
        <v>168</v>
      </c>
      <c r="F532" s="4">
        <v>26231.47690236169</v>
      </c>
    </row>
    <row r="533" spans="2:6" x14ac:dyDescent="0.25">
      <c r="B533" s="5">
        <v>41453</v>
      </c>
      <c r="C533" s="6" t="s">
        <v>5</v>
      </c>
      <c r="D533" s="6" t="s">
        <v>28</v>
      </c>
      <c r="E533" s="6" t="s">
        <v>57</v>
      </c>
      <c r="F533" s="4">
        <v>97362.055090824069</v>
      </c>
    </row>
    <row r="534" spans="2:6" x14ac:dyDescent="0.25">
      <c r="B534" s="5">
        <v>41456</v>
      </c>
      <c r="C534" s="6" t="s">
        <v>5</v>
      </c>
      <c r="D534" s="6" t="s">
        <v>35</v>
      </c>
      <c r="E534" s="6" t="s">
        <v>151</v>
      </c>
      <c r="F534" s="4">
        <v>56566.241046626143</v>
      </c>
    </row>
    <row r="535" spans="2:6" x14ac:dyDescent="0.25">
      <c r="B535" s="5">
        <v>41468</v>
      </c>
      <c r="C535" s="6" t="s">
        <v>8</v>
      </c>
      <c r="D535" s="6" t="s">
        <v>15</v>
      </c>
      <c r="E535" s="6" t="s">
        <v>103</v>
      </c>
      <c r="F535" s="4">
        <v>27682.870508123728</v>
      </c>
    </row>
    <row r="536" spans="2:6" x14ac:dyDescent="0.25">
      <c r="B536" s="5">
        <v>41469</v>
      </c>
      <c r="C536" s="6" t="s">
        <v>5</v>
      </c>
      <c r="D536" s="6" t="s">
        <v>35</v>
      </c>
      <c r="E536" s="6" t="s">
        <v>98</v>
      </c>
      <c r="F536" s="4">
        <v>52156.629203715049</v>
      </c>
    </row>
    <row r="537" spans="2:6" x14ac:dyDescent="0.25">
      <c r="B537" s="5">
        <v>41477</v>
      </c>
      <c r="C537" s="6" t="s">
        <v>8</v>
      </c>
      <c r="D537" s="6" t="s">
        <v>46</v>
      </c>
      <c r="E537" s="6" t="s">
        <v>188</v>
      </c>
      <c r="F537" s="4">
        <v>75172.673339232904</v>
      </c>
    </row>
    <row r="538" spans="2:6" x14ac:dyDescent="0.25">
      <c r="B538" s="5">
        <v>41481</v>
      </c>
      <c r="C538" s="6" t="s">
        <v>5</v>
      </c>
      <c r="D538" s="6" t="s">
        <v>46</v>
      </c>
      <c r="E538" s="6" t="s">
        <v>76</v>
      </c>
      <c r="F538" s="4">
        <v>38755.534105557424</v>
      </c>
    </row>
    <row r="539" spans="2:6" x14ac:dyDescent="0.25">
      <c r="B539" s="5">
        <v>41482</v>
      </c>
      <c r="C539" s="6" t="s">
        <v>8</v>
      </c>
      <c r="D539" s="6" t="s">
        <v>28</v>
      </c>
      <c r="E539" s="6" t="s">
        <v>70</v>
      </c>
      <c r="F539" s="4">
        <v>91313.565172090501</v>
      </c>
    </row>
    <row r="540" spans="2:6" x14ac:dyDescent="0.25">
      <c r="B540" s="5">
        <v>41484</v>
      </c>
      <c r="C540" s="6" t="s">
        <v>5</v>
      </c>
      <c r="D540" s="6" t="s">
        <v>15</v>
      </c>
      <c r="E540" s="6" t="s">
        <v>111</v>
      </c>
      <c r="F540" s="4">
        <v>50171.135229388477</v>
      </c>
    </row>
    <row r="541" spans="2:6" x14ac:dyDescent="0.25">
      <c r="B541" s="5">
        <v>41484</v>
      </c>
      <c r="C541" s="6" t="s">
        <v>5</v>
      </c>
      <c r="D541" s="6" t="s">
        <v>40</v>
      </c>
      <c r="E541" s="6" t="s">
        <v>90</v>
      </c>
      <c r="F541" s="4">
        <v>88140.36549246397</v>
      </c>
    </row>
    <row r="542" spans="2:6" x14ac:dyDescent="0.25">
      <c r="B542" s="5">
        <v>41485</v>
      </c>
      <c r="C542" s="6" t="s">
        <v>14</v>
      </c>
      <c r="D542" s="6" t="s">
        <v>18</v>
      </c>
      <c r="E542" s="6" t="s">
        <v>65</v>
      </c>
      <c r="F542" s="4">
        <v>70808.277001674578</v>
      </c>
    </row>
    <row r="543" spans="2:6" x14ac:dyDescent="0.25">
      <c r="B543" s="5">
        <v>41486</v>
      </c>
      <c r="C543" s="6" t="s">
        <v>5</v>
      </c>
      <c r="D543" s="6" t="s">
        <v>20</v>
      </c>
      <c r="E543" s="6" t="s">
        <v>131</v>
      </c>
      <c r="F543" s="4">
        <v>45443.168453707869</v>
      </c>
    </row>
    <row r="544" spans="2:6" x14ac:dyDescent="0.25">
      <c r="B544" s="5">
        <v>41495</v>
      </c>
      <c r="C544" s="6" t="s">
        <v>5</v>
      </c>
      <c r="D544" s="6" t="s">
        <v>54</v>
      </c>
      <c r="E544" s="6" t="s">
        <v>164</v>
      </c>
      <c r="F544" s="4">
        <v>58790.838682047572</v>
      </c>
    </row>
    <row r="545" spans="2:6" x14ac:dyDescent="0.25">
      <c r="B545" s="5">
        <v>41497</v>
      </c>
      <c r="C545" s="6" t="s">
        <v>14</v>
      </c>
      <c r="D545" s="6" t="s">
        <v>54</v>
      </c>
      <c r="E545" s="6" t="s">
        <v>27</v>
      </c>
      <c r="F545" s="4">
        <v>47518.544769733882</v>
      </c>
    </row>
    <row r="546" spans="2:6" x14ac:dyDescent="0.25">
      <c r="B546" s="5">
        <v>41497</v>
      </c>
      <c r="C546" s="6" t="s">
        <v>14</v>
      </c>
      <c r="D546" s="6" t="s">
        <v>23</v>
      </c>
      <c r="E546" s="6" t="s">
        <v>62</v>
      </c>
      <c r="F546" s="4">
        <v>69286.863295095274</v>
      </c>
    </row>
    <row r="547" spans="2:6" x14ac:dyDescent="0.25">
      <c r="B547" s="5">
        <v>41501</v>
      </c>
      <c r="C547" s="6" t="s">
        <v>5</v>
      </c>
      <c r="D547" s="6" t="s">
        <v>26</v>
      </c>
      <c r="E547" s="6" t="s">
        <v>41</v>
      </c>
      <c r="F547" s="4">
        <v>11189.109156711049</v>
      </c>
    </row>
    <row r="548" spans="2:6" x14ac:dyDescent="0.25">
      <c r="B548" s="5">
        <v>41501</v>
      </c>
      <c r="C548" s="6" t="s">
        <v>5</v>
      </c>
      <c r="D548" s="6" t="s">
        <v>54</v>
      </c>
      <c r="E548" s="6" t="s">
        <v>37</v>
      </c>
      <c r="F548" s="4">
        <v>74251.792654060846</v>
      </c>
    </row>
    <row r="549" spans="2:6" x14ac:dyDescent="0.25">
      <c r="B549" s="5">
        <v>41504</v>
      </c>
      <c r="C549" s="6" t="s">
        <v>8</v>
      </c>
      <c r="D549" s="6" t="s">
        <v>26</v>
      </c>
      <c r="E549" s="6" t="s">
        <v>190</v>
      </c>
      <c r="F549" s="4">
        <v>66612.199534805142</v>
      </c>
    </row>
    <row r="550" spans="2:6" x14ac:dyDescent="0.25">
      <c r="B550" s="5">
        <v>41508</v>
      </c>
      <c r="C550" s="6" t="s">
        <v>5</v>
      </c>
      <c r="D550" s="6" t="s">
        <v>33</v>
      </c>
      <c r="E550" s="6" t="s">
        <v>79</v>
      </c>
      <c r="F550" s="4">
        <v>84805.556372365827</v>
      </c>
    </row>
    <row r="551" spans="2:6" x14ac:dyDescent="0.25">
      <c r="B551" s="5">
        <v>41512</v>
      </c>
      <c r="C551" s="6" t="s">
        <v>5</v>
      </c>
      <c r="D551" s="6" t="s">
        <v>35</v>
      </c>
      <c r="E551" s="6" t="s">
        <v>105</v>
      </c>
      <c r="F551" s="4">
        <v>41961.808413651925</v>
      </c>
    </row>
    <row r="552" spans="2:6" x14ac:dyDescent="0.25">
      <c r="B552" s="5">
        <v>41517</v>
      </c>
      <c r="C552" s="6" t="s">
        <v>5</v>
      </c>
      <c r="D552" s="6" t="s">
        <v>6</v>
      </c>
      <c r="E552" s="6" t="s">
        <v>64</v>
      </c>
      <c r="F552" s="4">
        <v>99032.212509579214</v>
      </c>
    </row>
    <row r="553" spans="2:6" x14ac:dyDescent="0.25">
      <c r="B553" s="5">
        <v>41518</v>
      </c>
      <c r="C553" s="6" t="s">
        <v>8</v>
      </c>
      <c r="D553" s="6" t="s">
        <v>26</v>
      </c>
      <c r="E553" s="6" t="s">
        <v>68</v>
      </c>
      <c r="F553" s="4">
        <v>65614.170939034695</v>
      </c>
    </row>
    <row r="554" spans="2:6" x14ac:dyDescent="0.25">
      <c r="B554" s="5">
        <v>41519</v>
      </c>
      <c r="C554" s="6" t="s">
        <v>8</v>
      </c>
      <c r="D554" s="6" t="s">
        <v>20</v>
      </c>
      <c r="E554" s="6" t="s">
        <v>83</v>
      </c>
      <c r="F554" s="4">
        <v>19202.167061201457</v>
      </c>
    </row>
    <row r="555" spans="2:6" x14ac:dyDescent="0.25">
      <c r="B555" s="5">
        <v>41521</v>
      </c>
      <c r="C555" s="6" t="s">
        <v>5</v>
      </c>
      <c r="D555" s="6" t="s">
        <v>18</v>
      </c>
      <c r="E555" s="6" t="s">
        <v>25</v>
      </c>
      <c r="F555" s="4">
        <v>86718.655725544275</v>
      </c>
    </row>
    <row r="556" spans="2:6" x14ac:dyDescent="0.25">
      <c r="B556" s="5">
        <v>41522</v>
      </c>
      <c r="C556" s="6" t="s">
        <v>8</v>
      </c>
      <c r="D556" s="6" t="s">
        <v>23</v>
      </c>
      <c r="E556" s="6" t="s">
        <v>139</v>
      </c>
      <c r="F556" s="4">
        <v>34893.333529083415</v>
      </c>
    </row>
    <row r="557" spans="2:6" x14ac:dyDescent="0.25">
      <c r="B557" s="5">
        <v>41526</v>
      </c>
      <c r="C557" s="6" t="s">
        <v>5</v>
      </c>
      <c r="D557" s="6" t="s">
        <v>33</v>
      </c>
      <c r="E557" s="6" t="s">
        <v>114</v>
      </c>
      <c r="F557" s="4">
        <v>22833.804036796399</v>
      </c>
    </row>
    <row r="558" spans="2:6" x14ac:dyDescent="0.25">
      <c r="B558" s="5">
        <v>41527</v>
      </c>
      <c r="C558" s="6" t="s">
        <v>5</v>
      </c>
      <c r="D558" s="6" t="s">
        <v>6</v>
      </c>
      <c r="E558" s="6" t="s">
        <v>179</v>
      </c>
      <c r="F558" s="4">
        <v>89927.393386135635</v>
      </c>
    </row>
    <row r="559" spans="2:6" x14ac:dyDescent="0.25">
      <c r="B559" s="5">
        <v>41528</v>
      </c>
      <c r="C559" s="6" t="s">
        <v>8</v>
      </c>
      <c r="D559" s="6" t="s">
        <v>54</v>
      </c>
      <c r="E559" s="6" t="s">
        <v>104</v>
      </c>
      <c r="F559" s="4">
        <v>70158.64135352688</v>
      </c>
    </row>
    <row r="560" spans="2:6" x14ac:dyDescent="0.25">
      <c r="B560" s="5">
        <v>41531</v>
      </c>
      <c r="C560" s="6" t="s">
        <v>8</v>
      </c>
      <c r="D560" s="6" t="s">
        <v>46</v>
      </c>
      <c r="E560" s="6" t="s">
        <v>143</v>
      </c>
      <c r="F560" s="4">
        <v>26374.259789546657</v>
      </c>
    </row>
    <row r="561" spans="2:6" x14ac:dyDescent="0.25">
      <c r="B561" s="5">
        <v>41531</v>
      </c>
      <c r="C561" s="6" t="s">
        <v>5</v>
      </c>
      <c r="D561" s="6" t="s">
        <v>35</v>
      </c>
      <c r="E561" s="6" t="s">
        <v>165</v>
      </c>
      <c r="F561" s="4">
        <v>16341.510064788687</v>
      </c>
    </row>
    <row r="562" spans="2:6" x14ac:dyDescent="0.25">
      <c r="B562" s="5">
        <v>41531</v>
      </c>
      <c r="C562" s="6" t="s">
        <v>5</v>
      </c>
      <c r="D562" s="6" t="s">
        <v>6</v>
      </c>
      <c r="E562" s="6" t="s">
        <v>68</v>
      </c>
      <c r="F562" s="4">
        <v>56607.611616122718</v>
      </c>
    </row>
    <row r="563" spans="2:6" x14ac:dyDescent="0.25">
      <c r="B563" s="5">
        <v>41537</v>
      </c>
      <c r="C563" s="6" t="s">
        <v>11</v>
      </c>
      <c r="D563" s="6" t="s">
        <v>15</v>
      </c>
      <c r="E563" s="6" t="s">
        <v>175</v>
      </c>
      <c r="F563" s="4">
        <v>88007.522191736891</v>
      </c>
    </row>
    <row r="564" spans="2:6" x14ac:dyDescent="0.25">
      <c r="B564" s="5">
        <v>41537</v>
      </c>
      <c r="C564" s="6" t="s">
        <v>5</v>
      </c>
      <c r="D564" s="6" t="s">
        <v>35</v>
      </c>
      <c r="E564" s="6" t="s">
        <v>30</v>
      </c>
      <c r="F564" s="4">
        <v>77113.059840129354</v>
      </c>
    </row>
    <row r="565" spans="2:6" x14ac:dyDescent="0.25">
      <c r="B565" s="5">
        <v>41540</v>
      </c>
      <c r="C565" s="6" t="s">
        <v>5</v>
      </c>
      <c r="D565" s="6" t="s">
        <v>23</v>
      </c>
      <c r="E565" s="6" t="s">
        <v>98</v>
      </c>
      <c r="F565" s="4">
        <v>42584.731877118291</v>
      </c>
    </row>
    <row r="566" spans="2:6" x14ac:dyDescent="0.25">
      <c r="B566" s="5">
        <v>41542</v>
      </c>
      <c r="C566" s="6" t="s">
        <v>8</v>
      </c>
      <c r="D566" s="6" t="s">
        <v>40</v>
      </c>
      <c r="E566" s="6" t="s">
        <v>119</v>
      </c>
      <c r="F566" s="4">
        <v>22738.547456152075</v>
      </c>
    </row>
    <row r="567" spans="2:6" x14ac:dyDescent="0.25">
      <c r="B567" s="5">
        <v>41544</v>
      </c>
      <c r="C567" s="6" t="s">
        <v>11</v>
      </c>
      <c r="D567" s="6" t="s">
        <v>6</v>
      </c>
      <c r="E567" s="6" t="s">
        <v>88</v>
      </c>
      <c r="F567" s="4">
        <v>94659.747829010099</v>
      </c>
    </row>
    <row r="568" spans="2:6" x14ac:dyDescent="0.25">
      <c r="B568" s="5">
        <v>41545</v>
      </c>
      <c r="C568" s="6" t="s">
        <v>8</v>
      </c>
      <c r="D568" s="6" t="s">
        <v>23</v>
      </c>
      <c r="E568" s="6" t="s">
        <v>51</v>
      </c>
      <c r="F568" s="4">
        <v>37331.115659216513</v>
      </c>
    </row>
    <row r="569" spans="2:6" x14ac:dyDescent="0.25">
      <c r="B569" s="5">
        <v>41548</v>
      </c>
      <c r="C569" s="6" t="s">
        <v>5</v>
      </c>
      <c r="D569" s="6" t="s">
        <v>9</v>
      </c>
      <c r="E569" s="6" t="s">
        <v>148</v>
      </c>
      <c r="F569" s="4">
        <v>41899.401656226357</v>
      </c>
    </row>
    <row r="570" spans="2:6" x14ac:dyDescent="0.25">
      <c r="B570" s="5">
        <v>41548</v>
      </c>
      <c r="C570" s="6" t="s">
        <v>8</v>
      </c>
      <c r="D570" s="6" t="s">
        <v>46</v>
      </c>
      <c r="E570" s="6" t="s">
        <v>179</v>
      </c>
      <c r="F570" s="4">
        <v>75501.417596834042</v>
      </c>
    </row>
    <row r="571" spans="2:6" x14ac:dyDescent="0.25">
      <c r="B571" s="5">
        <v>41549</v>
      </c>
      <c r="C571" s="6" t="s">
        <v>8</v>
      </c>
      <c r="D571" s="6" t="s">
        <v>33</v>
      </c>
      <c r="E571" s="6" t="s">
        <v>156</v>
      </c>
      <c r="F571" s="4">
        <v>24132.700838822933</v>
      </c>
    </row>
    <row r="572" spans="2:6" x14ac:dyDescent="0.25">
      <c r="B572" s="5">
        <v>41556</v>
      </c>
      <c r="C572" s="6" t="s">
        <v>5</v>
      </c>
      <c r="D572" s="6" t="s">
        <v>12</v>
      </c>
      <c r="E572" s="6" t="s">
        <v>186</v>
      </c>
      <c r="F572" s="4">
        <v>46342.201932673015</v>
      </c>
    </row>
    <row r="573" spans="2:6" x14ac:dyDescent="0.25">
      <c r="B573" s="5">
        <v>41558</v>
      </c>
      <c r="C573" s="6" t="s">
        <v>11</v>
      </c>
      <c r="D573" s="6" t="s">
        <v>46</v>
      </c>
      <c r="E573" s="6" t="s">
        <v>180</v>
      </c>
      <c r="F573" s="4">
        <v>38847.726164360778</v>
      </c>
    </row>
    <row r="574" spans="2:6" x14ac:dyDescent="0.25">
      <c r="B574" s="5">
        <v>41567</v>
      </c>
      <c r="C574" s="6" t="s">
        <v>5</v>
      </c>
      <c r="D574" s="6" t="s">
        <v>46</v>
      </c>
      <c r="E574" s="6" t="s">
        <v>66</v>
      </c>
      <c r="F574" s="4">
        <v>81227.624639287984</v>
      </c>
    </row>
    <row r="575" spans="2:6" x14ac:dyDescent="0.25">
      <c r="B575" s="5">
        <v>41570</v>
      </c>
      <c r="C575" s="6" t="s">
        <v>5</v>
      </c>
      <c r="D575" s="6" t="s">
        <v>23</v>
      </c>
      <c r="E575" s="6" t="s">
        <v>48</v>
      </c>
      <c r="F575" s="4">
        <v>32667.452573734099</v>
      </c>
    </row>
    <row r="576" spans="2:6" x14ac:dyDescent="0.25">
      <c r="B576" s="5">
        <v>41572</v>
      </c>
      <c r="C576" s="6" t="s">
        <v>14</v>
      </c>
      <c r="D576" s="6" t="s">
        <v>18</v>
      </c>
      <c r="E576" s="6" t="s">
        <v>104</v>
      </c>
      <c r="F576" s="4">
        <v>46969.899708461686</v>
      </c>
    </row>
    <row r="577" spans="2:6" x14ac:dyDescent="0.25">
      <c r="B577" s="5">
        <v>41572</v>
      </c>
      <c r="C577" s="6" t="s">
        <v>5</v>
      </c>
      <c r="D577" s="6" t="s">
        <v>43</v>
      </c>
      <c r="E577" s="6" t="s">
        <v>57</v>
      </c>
      <c r="F577" s="4">
        <v>42472.902806129583</v>
      </c>
    </row>
    <row r="578" spans="2:6" x14ac:dyDescent="0.25">
      <c r="B578" s="5">
        <v>41573</v>
      </c>
      <c r="C578" s="6" t="s">
        <v>5</v>
      </c>
      <c r="D578" s="6" t="s">
        <v>40</v>
      </c>
      <c r="E578" s="6" t="s">
        <v>182</v>
      </c>
      <c r="F578" s="4">
        <v>37063.916219551647</v>
      </c>
    </row>
    <row r="579" spans="2:6" x14ac:dyDescent="0.25">
      <c r="B579" s="5">
        <v>41574</v>
      </c>
      <c r="C579" s="6" t="s">
        <v>11</v>
      </c>
      <c r="D579" s="6" t="s">
        <v>35</v>
      </c>
      <c r="E579" s="6" t="s">
        <v>155</v>
      </c>
      <c r="F579" s="4">
        <v>88682.613035686663</v>
      </c>
    </row>
    <row r="580" spans="2:6" x14ac:dyDescent="0.25">
      <c r="B580" s="5">
        <v>41575</v>
      </c>
      <c r="C580" s="6" t="s">
        <v>5</v>
      </c>
      <c r="D580" s="6" t="s">
        <v>23</v>
      </c>
      <c r="E580" s="6" t="s">
        <v>67</v>
      </c>
      <c r="F580" s="4">
        <v>28451.179653019422</v>
      </c>
    </row>
    <row r="581" spans="2:6" x14ac:dyDescent="0.25">
      <c r="B581" s="5">
        <v>41579</v>
      </c>
      <c r="C581" s="6" t="s">
        <v>5</v>
      </c>
      <c r="D581" s="6" t="s">
        <v>20</v>
      </c>
      <c r="E581" s="6" t="s">
        <v>52</v>
      </c>
      <c r="F581" s="4">
        <v>96756.682265811643</v>
      </c>
    </row>
    <row r="582" spans="2:6" x14ac:dyDescent="0.25">
      <c r="B582" s="5">
        <v>41580</v>
      </c>
      <c r="C582" s="6" t="s">
        <v>5</v>
      </c>
      <c r="D582" s="6" t="s">
        <v>46</v>
      </c>
      <c r="E582" s="6" t="s">
        <v>113</v>
      </c>
      <c r="F582" s="4">
        <v>16152.961194200443</v>
      </c>
    </row>
    <row r="583" spans="2:6" x14ac:dyDescent="0.25">
      <c r="B583" s="5">
        <v>41583</v>
      </c>
      <c r="C583" s="6" t="s">
        <v>5</v>
      </c>
      <c r="D583" s="6" t="s">
        <v>54</v>
      </c>
      <c r="E583" s="6" t="s">
        <v>151</v>
      </c>
      <c r="F583" s="4">
        <v>85053.112522532625</v>
      </c>
    </row>
    <row r="584" spans="2:6" x14ac:dyDescent="0.25">
      <c r="B584" s="5">
        <v>41585</v>
      </c>
      <c r="C584" s="6" t="s">
        <v>5</v>
      </c>
      <c r="D584" s="6" t="s">
        <v>43</v>
      </c>
      <c r="E584" s="6" t="s">
        <v>152</v>
      </c>
      <c r="F584" s="4">
        <v>42169.29113235246</v>
      </c>
    </row>
    <row r="585" spans="2:6" x14ac:dyDescent="0.25">
      <c r="B585" s="5">
        <v>41594</v>
      </c>
      <c r="C585" s="6" t="s">
        <v>5</v>
      </c>
      <c r="D585" s="6" t="s">
        <v>43</v>
      </c>
      <c r="E585" s="6" t="s">
        <v>132</v>
      </c>
      <c r="F585" s="4">
        <v>57996.304744630703</v>
      </c>
    </row>
    <row r="586" spans="2:6" x14ac:dyDescent="0.25">
      <c r="B586" s="5">
        <v>41598</v>
      </c>
      <c r="C586" s="6" t="s">
        <v>14</v>
      </c>
      <c r="D586" s="6" t="s">
        <v>35</v>
      </c>
      <c r="E586" s="6" t="s">
        <v>62</v>
      </c>
      <c r="F586" s="4">
        <v>53112.049546553899</v>
      </c>
    </row>
    <row r="587" spans="2:6" x14ac:dyDescent="0.25">
      <c r="B587" s="5">
        <v>41598</v>
      </c>
      <c r="C587" s="6" t="s">
        <v>8</v>
      </c>
      <c r="D587" s="6" t="s">
        <v>26</v>
      </c>
      <c r="E587" s="6" t="s">
        <v>188</v>
      </c>
      <c r="F587" s="4">
        <v>74305.357200137878</v>
      </c>
    </row>
    <row r="588" spans="2:6" x14ac:dyDescent="0.25">
      <c r="B588" s="5">
        <v>41599</v>
      </c>
      <c r="C588" s="6" t="s">
        <v>5</v>
      </c>
      <c r="D588" s="6" t="s">
        <v>23</v>
      </c>
      <c r="E588" s="6" t="s">
        <v>135</v>
      </c>
      <c r="F588" s="4">
        <v>21619.017469754133</v>
      </c>
    </row>
    <row r="589" spans="2:6" x14ac:dyDescent="0.25">
      <c r="B589" s="5">
        <v>41599</v>
      </c>
      <c r="C589" s="6" t="s">
        <v>5</v>
      </c>
      <c r="D589" s="6" t="s">
        <v>23</v>
      </c>
      <c r="E589" s="6" t="s">
        <v>153</v>
      </c>
      <c r="F589" s="4">
        <v>43124.287537309305</v>
      </c>
    </row>
    <row r="590" spans="2:6" x14ac:dyDescent="0.25">
      <c r="B590" s="5">
        <v>41602</v>
      </c>
      <c r="C590" s="6" t="s">
        <v>5</v>
      </c>
      <c r="D590" s="6" t="s">
        <v>23</v>
      </c>
      <c r="E590" s="6" t="s">
        <v>100</v>
      </c>
      <c r="F590" s="4">
        <v>77235.173135317425</v>
      </c>
    </row>
    <row r="591" spans="2:6" x14ac:dyDescent="0.25">
      <c r="B591" s="5">
        <v>41602</v>
      </c>
      <c r="C591" s="6" t="s">
        <v>8</v>
      </c>
      <c r="D591" s="6" t="s">
        <v>54</v>
      </c>
      <c r="E591" s="6" t="s">
        <v>106</v>
      </c>
      <c r="F591" s="4">
        <v>44988.051521405549</v>
      </c>
    </row>
    <row r="592" spans="2:6" x14ac:dyDescent="0.25">
      <c r="B592" s="5">
        <v>41603</v>
      </c>
      <c r="C592" s="6" t="s">
        <v>5</v>
      </c>
      <c r="D592" s="6" t="s">
        <v>9</v>
      </c>
      <c r="E592" s="6" t="s">
        <v>130</v>
      </c>
      <c r="F592" s="4">
        <v>86145.298555075176</v>
      </c>
    </row>
    <row r="593" spans="2:6" x14ac:dyDescent="0.25">
      <c r="B593" s="5">
        <v>41606</v>
      </c>
      <c r="C593" s="6" t="s">
        <v>5</v>
      </c>
      <c r="D593" s="6" t="s">
        <v>23</v>
      </c>
      <c r="E593" s="6" t="s">
        <v>81</v>
      </c>
      <c r="F593" s="4">
        <v>19284.623519138546</v>
      </c>
    </row>
    <row r="594" spans="2:6" x14ac:dyDescent="0.25">
      <c r="B594" s="5">
        <v>41607</v>
      </c>
      <c r="C594" s="6" t="s">
        <v>5</v>
      </c>
      <c r="D594" s="6" t="s">
        <v>26</v>
      </c>
      <c r="E594" s="6" t="s">
        <v>122</v>
      </c>
      <c r="F594" s="4">
        <v>71700.864806102487</v>
      </c>
    </row>
    <row r="595" spans="2:6" x14ac:dyDescent="0.25">
      <c r="B595" s="5">
        <v>41607</v>
      </c>
      <c r="C595" s="6" t="s">
        <v>5</v>
      </c>
      <c r="D595" s="6" t="s">
        <v>18</v>
      </c>
      <c r="E595" s="6" t="s">
        <v>97</v>
      </c>
      <c r="F595" s="4">
        <v>87104.251472983378</v>
      </c>
    </row>
    <row r="596" spans="2:6" x14ac:dyDescent="0.25">
      <c r="B596" s="5">
        <v>41612</v>
      </c>
      <c r="C596" s="6" t="s">
        <v>8</v>
      </c>
      <c r="D596" s="6" t="s">
        <v>15</v>
      </c>
      <c r="E596" s="6" t="s">
        <v>91</v>
      </c>
      <c r="F596" s="4">
        <v>89597.362423235536</v>
      </c>
    </row>
    <row r="597" spans="2:6" x14ac:dyDescent="0.25">
      <c r="B597" s="5">
        <v>41614</v>
      </c>
      <c r="C597" s="6" t="s">
        <v>5</v>
      </c>
      <c r="D597" s="6" t="s">
        <v>35</v>
      </c>
      <c r="E597" s="6" t="s">
        <v>104</v>
      </c>
      <c r="F597" s="4">
        <v>53965.601038950444</v>
      </c>
    </row>
    <row r="598" spans="2:6" x14ac:dyDescent="0.25">
      <c r="B598" s="5">
        <v>41614</v>
      </c>
      <c r="C598" s="6" t="s">
        <v>5</v>
      </c>
      <c r="D598" s="6" t="s">
        <v>54</v>
      </c>
      <c r="E598" s="6" t="s">
        <v>36</v>
      </c>
      <c r="F598" s="4">
        <v>88642.487703331542</v>
      </c>
    </row>
    <row r="599" spans="2:6" x14ac:dyDescent="0.25">
      <c r="B599" s="5">
        <v>41616</v>
      </c>
      <c r="C599" s="6" t="s">
        <v>5</v>
      </c>
      <c r="D599" s="6" t="s">
        <v>6</v>
      </c>
      <c r="E599" s="6" t="s">
        <v>27</v>
      </c>
      <c r="F599" s="4">
        <v>73472.569513876428</v>
      </c>
    </row>
    <row r="600" spans="2:6" x14ac:dyDescent="0.25">
      <c r="B600" s="5">
        <v>41621</v>
      </c>
      <c r="C600" s="6" t="s">
        <v>5</v>
      </c>
      <c r="D600" s="6" t="s">
        <v>9</v>
      </c>
      <c r="E600" s="6" t="s">
        <v>168</v>
      </c>
      <c r="F600" s="4">
        <v>81043.209921972797</v>
      </c>
    </row>
    <row r="601" spans="2:6" x14ac:dyDescent="0.25">
      <c r="B601" s="5">
        <v>41621</v>
      </c>
      <c r="C601" s="6" t="s">
        <v>8</v>
      </c>
      <c r="D601" s="6" t="s">
        <v>26</v>
      </c>
      <c r="E601" s="6" t="s">
        <v>135</v>
      </c>
      <c r="F601" s="4">
        <v>22802.681180891963</v>
      </c>
    </row>
    <row r="602" spans="2:6" x14ac:dyDescent="0.25">
      <c r="B602" s="5">
        <v>41623</v>
      </c>
      <c r="C602" s="6" t="s">
        <v>8</v>
      </c>
      <c r="D602" s="6" t="s">
        <v>28</v>
      </c>
      <c r="E602" s="6" t="s">
        <v>47</v>
      </c>
      <c r="F602" s="4">
        <v>70074.784872068602</v>
      </c>
    </row>
    <row r="603" spans="2:6" x14ac:dyDescent="0.25">
      <c r="B603" s="5">
        <v>41624</v>
      </c>
      <c r="C603" s="6" t="s">
        <v>14</v>
      </c>
      <c r="D603" s="6" t="s">
        <v>18</v>
      </c>
      <c r="E603" s="6" t="s">
        <v>45</v>
      </c>
      <c r="F603" s="4">
        <v>21952.226655716957</v>
      </c>
    </row>
    <row r="604" spans="2:6" x14ac:dyDescent="0.25">
      <c r="B604" s="5">
        <v>41625</v>
      </c>
      <c r="C604" s="6" t="s">
        <v>5</v>
      </c>
      <c r="D604" s="6" t="s">
        <v>12</v>
      </c>
      <c r="E604" s="6" t="s">
        <v>105</v>
      </c>
      <c r="F604" s="4">
        <v>24856.060979813261</v>
      </c>
    </row>
    <row r="605" spans="2:6" x14ac:dyDescent="0.25">
      <c r="B605" s="5">
        <v>41625</v>
      </c>
      <c r="C605" s="6" t="s">
        <v>14</v>
      </c>
      <c r="D605" s="6" t="s">
        <v>12</v>
      </c>
      <c r="E605" s="6" t="s">
        <v>126</v>
      </c>
      <c r="F605" s="4">
        <v>93362.744913086906</v>
      </c>
    </row>
    <row r="606" spans="2:6" x14ac:dyDescent="0.25">
      <c r="B606" s="5">
        <v>41629</v>
      </c>
      <c r="C606" s="6" t="s">
        <v>8</v>
      </c>
      <c r="D606" s="6" t="s">
        <v>43</v>
      </c>
      <c r="E606" s="6" t="s">
        <v>167</v>
      </c>
      <c r="F606" s="4">
        <v>26894.704873229581</v>
      </c>
    </row>
    <row r="607" spans="2:6" x14ac:dyDescent="0.25">
      <c r="B607" s="5">
        <v>41631</v>
      </c>
      <c r="C607" s="6" t="s">
        <v>11</v>
      </c>
      <c r="D607" s="6" t="s">
        <v>28</v>
      </c>
      <c r="E607" s="6" t="s">
        <v>10</v>
      </c>
      <c r="F607" s="4">
        <v>60154.492459751687</v>
      </c>
    </row>
    <row r="608" spans="2:6" x14ac:dyDescent="0.25">
      <c r="B608" s="5">
        <v>41631</v>
      </c>
      <c r="C608" s="6" t="s">
        <v>5</v>
      </c>
      <c r="D608" s="6" t="s">
        <v>18</v>
      </c>
      <c r="E608" s="6" t="s">
        <v>19</v>
      </c>
      <c r="F608" s="4">
        <v>35766.452283047176</v>
      </c>
    </row>
    <row r="609" spans="2:6" x14ac:dyDescent="0.25">
      <c r="B609" s="5">
        <v>41632</v>
      </c>
      <c r="C609" s="6" t="s">
        <v>5</v>
      </c>
      <c r="D609" s="6" t="s">
        <v>46</v>
      </c>
      <c r="E609" s="6" t="s">
        <v>51</v>
      </c>
      <c r="F609" s="4">
        <v>93089.64186743836</v>
      </c>
    </row>
    <row r="610" spans="2:6" x14ac:dyDescent="0.25">
      <c r="B610" s="5">
        <v>41633</v>
      </c>
      <c r="C610" s="6" t="s">
        <v>5</v>
      </c>
      <c r="D610" s="6" t="s">
        <v>28</v>
      </c>
      <c r="E610" s="6" t="s">
        <v>143</v>
      </c>
      <c r="F610" s="4">
        <v>84582.59409840712</v>
      </c>
    </row>
    <row r="611" spans="2:6" x14ac:dyDescent="0.25">
      <c r="B611" s="5">
        <v>41639</v>
      </c>
      <c r="C611" s="6" t="s">
        <v>14</v>
      </c>
      <c r="D611" s="6" t="s">
        <v>33</v>
      </c>
      <c r="E611" s="6" t="s">
        <v>71</v>
      </c>
      <c r="F611" s="4">
        <v>82442.491487914129</v>
      </c>
    </row>
    <row r="612" spans="2:6" x14ac:dyDescent="0.25">
      <c r="B612" s="5">
        <v>41639</v>
      </c>
      <c r="C612" s="6" t="s">
        <v>8</v>
      </c>
      <c r="D612" s="6" t="s">
        <v>35</v>
      </c>
      <c r="E612" s="6" t="s">
        <v>108</v>
      </c>
      <c r="F612" s="4">
        <v>53465.625032111508</v>
      </c>
    </row>
    <row r="613" spans="2:6" x14ac:dyDescent="0.25">
      <c r="B613" s="5">
        <v>41642</v>
      </c>
      <c r="C613" s="6" t="s">
        <v>8</v>
      </c>
      <c r="D613" s="6" t="s">
        <v>18</v>
      </c>
      <c r="E613" s="6" t="s">
        <v>19</v>
      </c>
      <c r="F613" s="4">
        <v>27041.606317994072</v>
      </c>
    </row>
    <row r="614" spans="2:6" x14ac:dyDescent="0.25">
      <c r="B614" s="5">
        <v>41643</v>
      </c>
      <c r="C614" s="6" t="s">
        <v>5</v>
      </c>
      <c r="D614" s="6" t="s">
        <v>9</v>
      </c>
      <c r="E614" s="6" t="s">
        <v>99</v>
      </c>
      <c r="F614" s="4">
        <v>34173.92238420777</v>
      </c>
    </row>
    <row r="615" spans="2:6" x14ac:dyDescent="0.25">
      <c r="B615" s="5">
        <v>41648</v>
      </c>
      <c r="C615" s="6" t="s">
        <v>8</v>
      </c>
      <c r="D615" s="6" t="s">
        <v>23</v>
      </c>
      <c r="E615" s="6" t="s">
        <v>129</v>
      </c>
      <c r="F615" s="4">
        <v>20773.214873071633</v>
      </c>
    </row>
    <row r="616" spans="2:6" x14ac:dyDescent="0.25">
      <c r="B616" s="5">
        <v>41651</v>
      </c>
      <c r="C616" s="6" t="s">
        <v>5</v>
      </c>
      <c r="D616" s="6" t="s">
        <v>20</v>
      </c>
      <c r="E616" s="6" t="s">
        <v>132</v>
      </c>
      <c r="F616" s="4">
        <v>42626.548589671933</v>
      </c>
    </row>
    <row r="617" spans="2:6" x14ac:dyDescent="0.25">
      <c r="B617" s="5">
        <v>41654</v>
      </c>
      <c r="C617" s="6" t="s">
        <v>11</v>
      </c>
      <c r="D617" s="6" t="s">
        <v>6</v>
      </c>
      <c r="E617" s="6" t="s">
        <v>114</v>
      </c>
      <c r="F617" s="4">
        <v>31297.362466689432</v>
      </c>
    </row>
    <row r="618" spans="2:6" x14ac:dyDescent="0.25">
      <c r="B618" s="5">
        <v>41656</v>
      </c>
      <c r="C618" s="6" t="s">
        <v>8</v>
      </c>
      <c r="D618" s="6" t="s">
        <v>33</v>
      </c>
      <c r="E618" s="6" t="s">
        <v>76</v>
      </c>
      <c r="F618" s="4">
        <v>44842.256559008449</v>
      </c>
    </row>
    <row r="619" spans="2:6" x14ac:dyDescent="0.25">
      <c r="B619" s="5">
        <v>41657</v>
      </c>
      <c r="C619" s="6" t="s">
        <v>11</v>
      </c>
      <c r="D619" s="6" t="s">
        <v>26</v>
      </c>
      <c r="E619" s="6" t="s">
        <v>48</v>
      </c>
      <c r="F619" s="4">
        <v>43595.998867010647</v>
      </c>
    </row>
    <row r="620" spans="2:6" x14ac:dyDescent="0.25">
      <c r="B620" s="5">
        <v>41657</v>
      </c>
      <c r="C620" s="6" t="s">
        <v>5</v>
      </c>
      <c r="D620" s="6" t="s">
        <v>54</v>
      </c>
      <c r="E620" s="6" t="s">
        <v>138</v>
      </c>
      <c r="F620" s="4">
        <v>21972.082690830506</v>
      </c>
    </row>
    <row r="621" spans="2:6" x14ac:dyDescent="0.25">
      <c r="B621" s="5">
        <v>41657</v>
      </c>
      <c r="C621" s="6" t="s">
        <v>11</v>
      </c>
      <c r="D621" s="6" t="s">
        <v>12</v>
      </c>
      <c r="E621" s="6" t="s">
        <v>191</v>
      </c>
      <c r="F621" s="4">
        <v>11624.540888799629</v>
      </c>
    </row>
    <row r="622" spans="2:6" x14ac:dyDescent="0.25">
      <c r="B622" s="5">
        <v>41659</v>
      </c>
      <c r="C622" s="6" t="s">
        <v>5</v>
      </c>
      <c r="D622" s="6" t="s">
        <v>20</v>
      </c>
      <c r="E622" s="6" t="s">
        <v>143</v>
      </c>
      <c r="F622" s="4">
        <v>86174.988415812622</v>
      </c>
    </row>
    <row r="623" spans="2:6" x14ac:dyDescent="0.25">
      <c r="B623" s="5">
        <v>41660</v>
      </c>
      <c r="C623" s="6" t="s">
        <v>11</v>
      </c>
      <c r="D623" s="6" t="s">
        <v>20</v>
      </c>
      <c r="E623" s="6" t="s">
        <v>31</v>
      </c>
      <c r="F623" s="4">
        <v>86248.854883965905</v>
      </c>
    </row>
    <row r="624" spans="2:6" x14ac:dyDescent="0.25">
      <c r="B624" s="5">
        <v>41661</v>
      </c>
      <c r="C624" s="6" t="s">
        <v>5</v>
      </c>
      <c r="D624" s="6" t="s">
        <v>6</v>
      </c>
      <c r="E624" s="6" t="s">
        <v>93</v>
      </c>
      <c r="F624" s="4">
        <v>84163.186662716558</v>
      </c>
    </row>
    <row r="625" spans="2:6" x14ac:dyDescent="0.25">
      <c r="B625" s="5">
        <v>41661</v>
      </c>
      <c r="C625" s="6" t="s">
        <v>5</v>
      </c>
      <c r="D625" s="6" t="s">
        <v>20</v>
      </c>
      <c r="E625" s="6" t="s">
        <v>179</v>
      </c>
      <c r="F625" s="4">
        <v>23730.872146404316</v>
      </c>
    </row>
    <row r="626" spans="2:6" x14ac:dyDescent="0.25">
      <c r="B626" s="5">
        <v>41663</v>
      </c>
      <c r="C626" s="6" t="s">
        <v>14</v>
      </c>
      <c r="D626" s="6" t="s">
        <v>54</v>
      </c>
      <c r="E626" s="6" t="s">
        <v>69</v>
      </c>
      <c r="F626" s="4">
        <v>90789.89523499702</v>
      </c>
    </row>
    <row r="627" spans="2:6" x14ac:dyDescent="0.25">
      <c r="B627" s="5">
        <v>41666</v>
      </c>
      <c r="C627" s="6" t="s">
        <v>5</v>
      </c>
      <c r="D627" s="6" t="s">
        <v>33</v>
      </c>
      <c r="E627" s="6" t="s">
        <v>29</v>
      </c>
      <c r="F627" s="4">
        <v>84672.025464342587</v>
      </c>
    </row>
    <row r="628" spans="2:6" x14ac:dyDescent="0.25">
      <c r="B628" s="5">
        <v>41667</v>
      </c>
      <c r="C628" s="6" t="s">
        <v>5</v>
      </c>
      <c r="D628" s="6" t="s">
        <v>9</v>
      </c>
      <c r="E628" s="6" t="s">
        <v>47</v>
      </c>
      <c r="F628" s="4">
        <v>16853.904904709299</v>
      </c>
    </row>
    <row r="629" spans="2:6" x14ac:dyDescent="0.25">
      <c r="B629" s="5">
        <v>41675</v>
      </c>
      <c r="C629" s="6" t="s">
        <v>8</v>
      </c>
      <c r="D629" s="6" t="s">
        <v>9</v>
      </c>
      <c r="E629" s="6" t="s">
        <v>147</v>
      </c>
      <c r="F629" s="4">
        <v>50162.912253702285</v>
      </c>
    </row>
    <row r="630" spans="2:6" x14ac:dyDescent="0.25">
      <c r="B630" s="5">
        <v>41675</v>
      </c>
      <c r="C630" s="6" t="s">
        <v>8</v>
      </c>
      <c r="D630" s="6" t="s">
        <v>43</v>
      </c>
      <c r="E630" s="6" t="s">
        <v>30</v>
      </c>
      <c r="F630" s="4">
        <v>69823.806686330325</v>
      </c>
    </row>
    <row r="631" spans="2:6" x14ac:dyDescent="0.25">
      <c r="B631" s="5">
        <v>41676</v>
      </c>
      <c r="C631" s="6" t="s">
        <v>14</v>
      </c>
      <c r="D631" s="6" t="s">
        <v>6</v>
      </c>
      <c r="E631" s="6" t="s">
        <v>79</v>
      </c>
      <c r="F631" s="4">
        <v>59796.437564114101</v>
      </c>
    </row>
    <row r="632" spans="2:6" x14ac:dyDescent="0.25">
      <c r="B632" s="5">
        <v>41679</v>
      </c>
      <c r="C632" s="6" t="s">
        <v>5</v>
      </c>
      <c r="D632" s="6" t="s">
        <v>35</v>
      </c>
      <c r="E632" s="6" t="s">
        <v>36</v>
      </c>
      <c r="F632" s="4">
        <v>11689.765748122507</v>
      </c>
    </row>
    <row r="633" spans="2:6" x14ac:dyDescent="0.25">
      <c r="B633" s="5">
        <v>41679</v>
      </c>
      <c r="C633" s="6" t="s">
        <v>8</v>
      </c>
      <c r="D633" s="6" t="s">
        <v>43</v>
      </c>
      <c r="E633" s="6" t="s">
        <v>172</v>
      </c>
      <c r="F633" s="4">
        <v>69825.425688923642</v>
      </c>
    </row>
    <row r="634" spans="2:6" x14ac:dyDescent="0.25">
      <c r="B634" s="5">
        <v>41680</v>
      </c>
      <c r="C634" s="6" t="s">
        <v>14</v>
      </c>
      <c r="D634" s="6" t="s">
        <v>18</v>
      </c>
      <c r="E634" s="6" t="s">
        <v>173</v>
      </c>
      <c r="F634" s="4">
        <v>58743.988635258313</v>
      </c>
    </row>
    <row r="635" spans="2:6" x14ac:dyDescent="0.25">
      <c r="B635" s="5">
        <v>41687</v>
      </c>
      <c r="C635" s="6" t="s">
        <v>5</v>
      </c>
      <c r="D635" s="6" t="s">
        <v>26</v>
      </c>
      <c r="E635" s="6" t="s">
        <v>71</v>
      </c>
      <c r="F635" s="4">
        <v>31062.774692366213</v>
      </c>
    </row>
    <row r="636" spans="2:6" x14ac:dyDescent="0.25">
      <c r="B636" s="5">
        <v>41688</v>
      </c>
      <c r="C636" s="6" t="s">
        <v>5</v>
      </c>
      <c r="D636" s="6" t="s">
        <v>9</v>
      </c>
      <c r="E636" s="6" t="s">
        <v>184</v>
      </c>
      <c r="F636" s="4">
        <v>74997.695200137954</v>
      </c>
    </row>
    <row r="637" spans="2:6" x14ac:dyDescent="0.25">
      <c r="B637" s="5">
        <v>41688</v>
      </c>
      <c r="C637" s="6" t="s">
        <v>5</v>
      </c>
      <c r="D637" s="6" t="s">
        <v>18</v>
      </c>
      <c r="E637" s="6" t="s">
        <v>187</v>
      </c>
      <c r="F637" s="4">
        <v>23084.635207836731</v>
      </c>
    </row>
    <row r="638" spans="2:6" x14ac:dyDescent="0.25">
      <c r="B638" s="5">
        <v>41688</v>
      </c>
      <c r="C638" s="6" t="s">
        <v>5</v>
      </c>
      <c r="D638" s="6" t="s">
        <v>33</v>
      </c>
      <c r="E638" s="6" t="s">
        <v>114</v>
      </c>
      <c r="F638" s="4">
        <v>50598.334841637217</v>
      </c>
    </row>
    <row r="639" spans="2:6" x14ac:dyDescent="0.25">
      <c r="B639" s="5">
        <v>41691</v>
      </c>
      <c r="C639" s="6" t="s">
        <v>11</v>
      </c>
      <c r="D639" s="6" t="s">
        <v>40</v>
      </c>
      <c r="E639" s="6" t="s">
        <v>31</v>
      </c>
      <c r="F639" s="4">
        <v>21450.36748645451</v>
      </c>
    </row>
    <row r="640" spans="2:6" x14ac:dyDescent="0.25">
      <c r="B640" s="5">
        <v>41693</v>
      </c>
      <c r="C640" s="6" t="s">
        <v>5</v>
      </c>
      <c r="D640" s="6" t="s">
        <v>33</v>
      </c>
      <c r="E640" s="6" t="s">
        <v>82</v>
      </c>
      <c r="F640" s="4">
        <v>29972.849715881606</v>
      </c>
    </row>
    <row r="641" spans="2:6" x14ac:dyDescent="0.25">
      <c r="B641" s="5">
        <v>41696</v>
      </c>
      <c r="C641" s="6" t="s">
        <v>5</v>
      </c>
      <c r="D641" s="6" t="s">
        <v>23</v>
      </c>
      <c r="E641" s="6" t="s">
        <v>29</v>
      </c>
      <c r="F641" s="4">
        <v>16069.785330678602</v>
      </c>
    </row>
    <row r="642" spans="2:6" x14ac:dyDescent="0.25">
      <c r="B642" s="5">
        <v>41696</v>
      </c>
      <c r="C642" s="6" t="s">
        <v>8</v>
      </c>
      <c r="D642" s="6" t="s">
        <v>54</v>
      </c>
      <c r="E642" s="6" t="s">
        <v>53</v>
      </c>
      <c r="F642" s="4">
        <v>66776.08465463623</v>
      </c>
    </row>
    <row r="643" spans="2:6" x14ac:dyDescent="0.25">
      <c r="B643" s="5">
        <v>41701</v>
      </c>
      <c r="C643" s="6" t="s">
        <v>8</v>
      </c>
      <c r="D643" s="6" t="s">
        <v>54</v>
      </c>
      <c r="E643" s="6" t="s">
        <v>55</v>
      </c>
      <c r="F643" s="4">
        <v>57255.582576730216</v>
      </c>
    </row>
    <row r="644" spans="2:6" x14ac:dyDescent="0.25">
      <c r="B644" s="5">
        <v>41706</v>
      </c>
      <c r="C644" s="6" t="s">
        <v>5</v>
      </c>
      <c r="D644" s="6" t="s">
        <v>6</v>
      </c>
      <c r="E644" s="6" t="s">
        <v>188</v>
      </c>
      <c r="F644" s="4">
        <v>48940.174870825191</v>
      </c>
    </row>
    <row r="645" spans="2:6" x14ac:dyDescent="0.25">
      <c r="B645" s="5">
        <v>41707</v>
      </c>
      <c r="C645" s="6" t="s">
        <v>14</v>
      </c>
      <c r="D645" s="6" t="s">
        <v>40</v>
      </c>
      <c r="E645" s="6" t="s">
        <v>69</v>
      </c>
      <c r="F645" s="4">
        <v>47855.874320128067</v>
      </c>
    </row>
    <row r="646" spans="2:6" x14ac:dyDescent="0.25">
      <c r="B646" s="5">
        <v>41711</v>
      </c>
      <c r="C646" s="6" t="s">
        <v>8</v>
      </c>
      <c r="D646" s="6" t="s">
        <v>26</v>
      </c>
      <c r="E646" s="6" t="s">
        <v>121</v>
      </c>
      <c r="F646" s="4">
        <v>52020.797281513114</v>
      </c>
    </row>
    <row r="647" spans="2:6" x14ac:dyDescent="0.25">
      <c r="B647" s="5">
        <v>41712</v>
      </c>
      <c r="C647" s="6" t="s">
        <v>14</v>
      </c>
      <c r="D647" s="6" t="s">
        <v>43</v>
      </c>
      <c r="E647" s="6" t="s">
        <v>71</v>
      </c>
      <c r="F647" s="4">
        <v>37273.663102566512</v>
      </c>
    </row>
    <row r="648" spans="2:6" x14ac:dyDescent="0.25">
      <c r="B648" s="5">
        <v>41712</v>
      </c>
      <c r="C648" s="6" t="s">
        <v>14</v>
      </c>
      <c r="D648" s="6" t="s">
        <v>40</v>
      </c>
      <c r="E648" s="6" t="s">
        <v>62</v>
      </c>
      <c r="F648" s="4">
        <v>10320.250504466698</v>
      </c>
    </row>
    <row r="649" spans="2:6" x14ac:dyDescent="0.25">
      <c r="B649" s="5">
        <v>41715</v>
      </c>
      <c r="C649" s="6" t="s">
        <v>5</v>
      </c>
      <c r="D649" s="6" t="s">
        <v>18</v>
      </c>
      <c r="E649" s="6" t="s">
        <v>62</v>
      </c>
      <c r="F649" s="4">
        <v>48505.249179851293</v>
      </c>
    </row>
    <row r="650" spans="2:6" x14ac:dyDescent="0.25">
      <c r="B650" s="5">
        <v>41719</v>
      </c>
      <c r="C650" s="6" t="s">
        <v>5</v>
      </c>
      <c r="D650" s="6" t="s">
        <v>12</v>
      </c>
      <c r="E650" s="6" t="s">
        <v>34</v>
      </c>
      <c r="F650" s="4">
        <v>55746.433656207679</v>
      </c>
    </row>
    <row r="651" spans="2:6" x14ac:dyDescent="0.25">
      <c r="B651" s="5">
        <v>41721</v>
      </c>
      <c r="C651" s="6" t="s">
        <v>5</v>
      </c>
      <c r="D651" s="6" t="s">
        <v>6</v>
      </c>
      <c r="E651" s="6" t="s">
        <v>173</v>
      </c>
      <c r="F651" s="4">
        <v>77043.983904388471</v>
      </c>
    </row>
    <row r="652" spans="2:6" x14ac:dyDescent="0.25">
      <c r="B652" s="5">
        <v>41724</v>
      </c>
      <c r="C652" s="6" t="s">
        <v>5</v>
      </c>
      <c r="D652" s="6" t="s">
        <v>6</v>
      </c>
      <c r="E652" s="6" t="s">
        <v>21</v>
      </c>
      <c r="F652" s="4">
        <v>92340.707543071301</v>
      </c>
    </row>
    <row r="653" spans="2:6" x14ac:dyDescent="0.25">
      <c r="B653" s="5">
        <v>41725</v>
      </c>
      <c r="C653" s="6" t="s">
        <v>8</v>
      </c>
      <c r="D653" s="6" t="s">
        <v>23</v>
      </c>
      <c r="E653" s="6" t="s">
        <v>101</v>
      </c>
      <c r="F653" s="4">
        <v>25698.255883185295</v>
      </c>
    </row>
    <row r="654" spans="2:6" x14ac:dyDescent="0.25">
      <c r="B654" s="5">
        <v>41728</v>
      </c>
      <c r="C654" s="6" t="s">
        <v>5</v>
      </c>
      <c r="D654" s="6" t="s">
        <v>9</v>
      </c>
      <c r="E654" s="6" t="s">
        <v>180</v>
      </c>
      <c r="F654" s="4">
        <v>97833.550245328544</v>
      </c>
    </row>
    <row r="655" spans="2:6" x14ac:dyDescent="0.25">
      <c r="B655" s="5">
        <v>41735</v>
      </c>
      <c r="C655" s="6" t="s">
        <v>5</v>
      </c>
      <c r="D655" s="6" t="s">
        <v>35</v>
      </c>
      <c r="E655" s="6" t="s">
        <v>58</v>
      </c>
      <c r="F655" s="4">
        <v>45880.595739876204</v>
      </c>
    </row>
    <row r="656" spans="2:6" x14ac:dyDescent="0.25">
      <c r="B656" s="5">
        <v>41737</v>
      </c>
      <c r="C656" s="6" t="s">
        <v>5</v>
      </c>
      <c r="D656" s="6" t="s">
        <v>26</v>
      </c>
      <c r="E656" s="6" t="s">
        <v>53</v>
      </c>
      <c r="F656" s="4">
        <v>57242.567324864445</v>
      </c>
    </row>
    <row r="657" spans="2:6" x14ac:dyDescent="0.25">
      <c r="B657" s="5">
        <v>41737</v>
      </c>
      <c r="C657" s="6" t="s">
        <v>5</v>
      </c>
      <c r="D657" s="6" t="s">
        <v>54</v>
      </c>
      <c r="E657" s="6" t="s">
        <v>184</v>
      </c>
      <c r="F657" s="4">
        <v>60477.552875955123</v>
      </c>
    </row>
    <row r="658" spans="2:6" x14ac:dyDescent="0.25">
      <c r="B658" s="5">
        <v>41741</v>
      </c>
      <c r="C658" s="6" t="s">
        <v>5</v>
      </c>
      <c r="D658" s="6" t="s">
        <v>28</v>
      </c>
      <c r="E658" s="6" t="s">
        <v>29</v>
      </c>
      <c r="F658" s="4">
        <v>92684.414242983665</v>
      </c>
    </row>
    <row r="659" spans="2:6" x14ac:dyDescent="0.25">
      <c r="B659" s="5">
        <v>41743</v>
      </c>
      <c r="C659" s="6" t="s">
        <v>5</v>
      </c>
      <c r="D659" s="6" t="s">
        <v>12</v>
      </c>
      <c r="E659" s="6" t="s">
        <v>30</v>
      </c>
      <c r="F659" s="4">
        <v>91642.03632561928</v>
      </c>
    </row>
    <row r="660" spans="2:6" x14ac:dyDescent="0.25">
      <c r="B660" s="5">
        <v>41746</v>
      </c>
      <c r="C660" s="6" t="s">
        <v>8</v>
      </c>
      <c r="D660" s="6" t="s">
        <v>9</v>
      </c>
      <c r="E660" s="6" t="s">
        <v>154</v>
      </c>
      <c r="F660" s="4">
        <v>53340.042625964583</v>
      </c>
    </row>
    <row r="661" spans="2:6" x14ac:dyDescent="0.25">
      <c r="B661" s="5">
        <v>41747</v>
      </c>
      <c r="C661" s="6" t="s">
        <v>5</v>
      </c>
      <c r="D661" s="6" t="s">
        <v>26</v>
      </c>
      <c r="E661" s="6" t="s">
        <v>55</v>
      </c>
      <c r="F661" s="4">
        <v>33622.941591626914</v>
      </c>
    </row>
    <row r="662" spans="2:6" x14ac:dyDescent="0.25">
      <c r="B662" s="5">
        <v>41747</v>
      </c>
      <c r="C662" s="6" t="s">
        <v>8</v>
      </c>
      <c r="D662" s="6" t="s">
        <v>9</v>
      </c>
      <c r="E662" s="6" t="s">
        <v>177</v>
      </c>
      <c r="F662" s="4">
        <v>11546.428036966263</v>
      </c>
    </row>
    <row r="663" spans="2:6" x14ac:dyDescent="0.25">
      <c r="B663" s="5">
        <v>41749</v>
      </c>
      <c r="C663" s="6" t="s">
        <v>8</v>
      </c>
      <c r="D663" s="6" t="s">
        <v>15</v>
      </c>
      <c r="E663" s="6" t="s">
        <v>83</v>
      </c>
      <c r="F663" s="4">
        <v>97251.489061376065</v>
      </c>
    </row>
    <row r="664" spans="2:6" x14ac:dyDescent="0.25">
      <c r="B664" s="5">
        <v>41750</v>
      </c>
      <c r="C664" s="6" t="s">
        <v>14</v>
      </c>
      <c r="D664" s="6" t="s">
        <v>12</v>
      </c>
      <c r="E664" s="6" t="s">
        <v>98</v>
      </c>
      <c r="F664" s="4">
        <v>41491.775844176045</v>
      </c>
    </row>
    <row r="665" spans="2:6" x14ac:dyDescent="0.25">
      <c r="B665" s="5">
        <v>41750</v>
      </c>
      <c r="C665" s="6" t="s">
        <v>5</v>
      </c>
      <c r="D665" s="6" t="s">
        <v>54</v>
      </c>
      <c r="E665" s="6" t="s">
        <v>147</v>
      </c>
      <c r="F665" s="4">
        <v>31021.146125609012</v>
      </c>
    </row>
    <row r="666" spans="2:6" x14ac:dyDescent="0.25">
      <c r="B666" s="5">
        <v>41752</v>
      </c>
      <c r="C666" s="6" t="s">
        <v>5</v>
      </c>
      <c r="D666" s="6" t="s">
        <v>35</v>
      </c>
      <c r="E666" s="6" t="s">
        <v>173</v>
      </c>
      <c r="F666" s="4">
        <v>67961.061192653549</v>
      </c>
    </row>
    <row r="667" spans="2:6" x14ac:dyDescent="0.25">
      <c r="B667" s="5">
        <v>41760</v>
      </c>
      <c r="C667" s="6" t="s">
        <v>5</v>
      </c>
      <c r="D667" s="6" t="s">
        <v>18</v>
      </c>
      <c r="E667" s="6" t="s">
        <v>152</v>
      </c>
      <c r="F667" s="4">
        <v>96319.122722425571</v>
      </c>
    </row>
    <row r="668" spans="2:6" x14ac:dyDescent="0.25">
      <c r="B668" s="5">
        <v>41761</v>
      </c>
      <c r="C668" s="6" t="s">
        <v>5</v>
      </c>
      <c r="D668" s="6" t="s">
        <v>54</v>
      </c>
      <c r="E668" s="6" t="s">
        <v>92</v>
      </c>
      <c r="F668" s="4">
        <v>52325.904565672696</v>
      </c>
    </row>
    <row r="669" spans="2:6" x14ac:dyDescent="0.25">
      <c r="B669" s="5">
        <v>41761</v>
      </c>
      <c r="C669" s="6" t="s">
        <v>5</v>
      </c>
      <c r="D669" s="6" t="s">
        <v>9</v>
      </c>
      <c r="E669" s="6" t="s">
        <v>93</v>
      </c>
      <c r="F669" s="4">
        <v>63721.551121585078</v>
      </c>
    </row>
    <row r="670" spans="2:6" x14ac:dyDescent="0.25">
      <c r="B670" s="5">
        <v>41762</v>
      </c>
      <c r="C670" s="6" t="s">
        <v>8</v>
      </c>
      <c r="D670" s="6" t="s">
        <v>28</v>
      </c>
      <c r="E670" s="6" t="s">
        <v>120</v>
      </c>
      <c r="F670" s="4">
        <v>42562.940724626773</v>
      </c>
    </row>
    <row r="671" spans="2:6" x14ac:dyDescent="0.25">
      <c r="B671" s="5">
        <v>41765</v>
      </c>
      <c r="C671" s="6" t="s">
        <v>5</v>
      </c>
      <c r="D671" s="6" t="s">
        <v>26</v>
      </c>
      <c r="E671" s="6" t="s">
        <v>30</v>
      </c>
      <c r="F671" s="4">
        <v>71139.104850000018</v>
      </c>
    </row>
    <row r="672" spans="2:6" x14ac:dyDescent="0.25">
      <c r="B672" s="5">
        <v>41770</v>
      </c>
      <c r="C672" s="6" t="s">
        <v>5</v>
      </c>
      <c r="D672" s="6" t="s">
        <v>40</v>
      </c>
      <c r="E672" s="6" t="s">
        <v>76</v>
      </c>
      <c r="F672" s="4">
        <v>80777.984394896353</v>
      </c>
    </row>
    <row r="673" spans="2:6" x14ac:dyDescent="0.25">
      <c r="B673" s="5">
        <v>41773</v>
      </c>
      <c r="C673" s="6" t="s">
        <v>14</v>
      </c>
      <c r="D673" s="6" t="s">
        <v>43</v>
      </c>
      <c r="E673" s="6" t="s">
        <v>136</v>
      </c>
      <c r="F673" s="4">
        <v>32330.283253427031</v>
      </c>
    </row>
    <row r="674" spans="2:6" x14ac:dyDescent="0.25">
      <c r="B674" s="5">
        <v>41773</v>
      </c>
      <c r="C674" s="6" t="s">
        <v>8</v>
      </c>
      <c r="D674" s="6" t="s">
        <v>15</v>
      </c>
      <c r="E674" s="6" t="s">
        <v>24</v>
      </c>
      <c r="F674" s="4">
        <v>72220.261684687328</v>
      </c>
    </row>
    <row r="675" spans="2:6" x14ac:dyDescent="0.25">
      <c r="B675" s="5">
        <v>41773</v>
      </c>
      <c r="C675" s="6" t="s">
        <v>14</v>
      </c>
      <c r="D675" s="6" t="s">
        <v>18</v>
      </c>
      <c r="E675" s="6" t="s">
        <v>169</v>
      </c>
      <c r="F675" s="4">
        <v>35666.599076139239</v>
      </c>
    </row>
    <row r="676" spans="2:6" x14ac:dyDescent="0.25">
      <c r="B676" s="5">
        <v>41774</v>
      </c>
      <c r="C676" s="6" t="s">
        <v>5</v>
      </c>
      <c r="D676" s="6" t="s">
        <v>46</v>
      </c>
      <c r="E676" s="6" t="s">
        <v>81</v>
      </c>
      <c r="F676" s="4">
        <v>27850.852572338077</v>
      </c>
    </row>
    <row r="677" spans="2:6" x14ac:dyDescent="0.25">
      <c r="B677" s="5">
        <v>41775</v>
      </c>
      <c r="C677" s="6" t="s">
        <v>5</v>
      </c>
      <c r="D677" s="6" t="s">
        <v>26</v>
      </c>
      <c r="E677" s="6" t="s">
        <v>10</v>
      </c>
      <c r="F677" s="4">
        <v>44022.433439174922</v>
      </c>
    </row>
    <row r="678" spans="2:6" x14ac:dyDescent="0.25">
      <c r="B678" s="5">
        <v>41777</v>
      </c>
      <c r="C678" s="6" t="s">
        <v>8</v>
      </c>
      <c r="D678" s="6" t="s">
        <v>23</v>
      </c>
      <c r="E678" s="6" t="s">
        <v>50</v>
      </c>
      <c r="F678" s="4">
        <v>60241.71800617077</v>
      </c>
    </row>
    <row r="679" spans="2:6" x14ac:dyDescent="0.25">
      <c r="B679" s="5">
        <v>41782</v>
      </c>
      <c r="C679" s="6" t="s">
        <v>8</v>
      </c>
      <c r="D679" s="6" t="s">
        <v>6</v>
      </c>
      <c r="E679" s="6" t="s">
        <v>154</v>
      </c>
      <c r="F679" s="4">
        <v>99865.291599203134</v>
      </c>
    </row>
    <row r="680" spans="2:6" x14ac:dyDescent="0.25">
      <c r="B680" s="5">
        <v>41783</v>
      </c>
      <c r="C680" s="6" t="s">
        <v>8</v>
      </c>
      <c r="D680" s="6" t="s">
        <v>18</v>
      </c>
      <c r="E680" s="6" t="s">
        <v>55</v>
      </c>
      <c r="F680" s="4">
        <v>29476.6474954853</v>
      </c>
    </row>
    <row r="681" spans="2:6" x14ac:dyDescent="0.25">
      <c r="B681" s="5">
        <v>41789</v>
      </c>
      <c r="C681" s="6" t="s">
        <v>8</v>
      </c>
      <c r="D681" s="6" t="s">
        <v>28</v>
      </c>
      <c r="E681" s="6" t="s">
        <v>111</v>
      </c>
      <c r="F681" s="4">
        <v>11043.897809580852</v>
      </c>
    </row>
    <row r="682" spans="2:6" x14ac:dyDescent="0.25">
      <c r="B682" s="5">
        <v>41793</v>
      </c>
      <c r="C682" s="6" t="s">
        <v>8</v>
      </c>
      <c r="D682" s="6" t="s">
        <v>46</v>
      </c>
      <c r="E682" s="6" t="s">
        <v>34</v>
      </c>
      <c r="F682" s="4">
        <v>66838.482962458264</v>
      </c>
    </row>
    <row r="683" spans="2:6" x14ac:dyDescent="0.25">
      <c r="B683" s="5">
        <v>41793</v>
      </c>
      <c r="C683" s="6" t="s">
        <v>5</v>
      </c>
      <c r="D683" s="6" t="s">
        <v>46</v>
      </c>
      <c r="E683" s="6" t="s">
        <v>22</v>
      </c>
      <c r="F683" s="4">
        <v>96835.28441098753</v>
      </c>
    </row>
    <row r="684" spans="2:6" x14ac:dyDescent="0.25">
      <c r="B684" s="5">
        <v>41793</v>
      </c>
      <c r="C684" s="6" t="s">
        <v>5</v>
      </c>
      <c r="D684" s="6" t="s">
        <v>54</v>
      </c>
      <c r="E684" s="6" t="s">
        <v>131</v>
      </c>
      <c r="F684" s="4">
        <v>32541.39884474915</v>
      </c>
    </row>
    <row r="685" spans="2:6" x14ac:dyDescent="0.25">
      <c r="B685" s="5">
        <v>41793</v>
      </c>
      <c r="C685" s="6" t="s">
        <v>5</v>
      </c>
      <c r="D685" s="6" t="s">
        <v>54</v>
      </c>
      <c r="E685" s="6" t="s">
        <v>70</v>
      </c>
      <c r="F685" s="4">
        <v>61739.169520608208</v>
      </c>
    </row>
    <row r="686" spans="2:6" x14ac:dyDescent="0.25">
      <c r="B686" s="5">
        <v>41798</v>
      </c>
      <c r="C686" s="6" t="s">
        <v>5</v>
      </c>
      <c r="D686" s="6" t="s">
        <v>18</v>
      </c>
      <c r="E686" s="6" t="s">
        <v>42</v>
      </c>
      <c r="F686" s="4">
        <v>30908.383343688056</v>
      </c>
    </row>
    <row r="687" spans="2:6" x14ac:dyDescent="0.25">
      <c r="B687" s="5">
        <v>41799</v>
      </c>
      <c r="C687" s="6" t="s">
        <v>5</v>
      </c>
      <c r="D687" s="6" t="s">
        <v>35</v>
      </c>
      <c r="E687" s="6" t="s">
        <v>84</v>
      </c>
      <c r="F687" s="4">
        <v>62682.482384584619</v>
      </c>
    </row>
    <row r="688" spans="2:6" x14ac:dyDescent="0.25">
      <c r="B688" s="5">
        <v>41804</v>
      </c>
      <c r="C688" s="6" t="s">
        <v>5</v>
      </c>
      <c r="D688" s="6" t="s">
        <v>12</v>
      </c>
      <c r="E688" s="6" t="s">
        <v>148</v>
      </c>
      <c r="F688" s="4">
        <v>22882.740699241651</v>
      </c>
    </row>
    <row r="689" spans="2:6" x14ac:dyDescent="0.25">
      <c r="B689" s="5">
        <v>41807</v>
      </c>
      <c r="C689" s="6" t="s">
        <v>5</v>
      </c>
      <c r="D689" s="6" t="s">
        <v>9</v>
      </c>
      <c r="E689" s="6" t="s">
        <v>94</v>
      </c>
      <c r="F689" s="4">
        <v>96421.35982769297</v>
      </c>
    </row>
    <row r="690" spans="2:6" x14ac:dyDescent="0.25">
      <c r="B690" s="5">
        <v>41808</v>
      </c>
      <c r="C690" s="6" t="s">
        <v>11</v>
      </c>
      <c r="D690" s="6" t="s">
        <v>6</v>
      </c>
      <c r="E690" s="6" t="s">
        <v>104</v>
      </c>
      <c r="F690" s="4">
        <v>10977.910899552786</v>
      </c>
    </row>
    <row r="691" spans="2:6" x14ac:dyDescent="0.25">
      <c r="B691" s="5">
        <v>41823</v>
      </c>
      <c r="C691" s="6" t="s">
        <v>5</v>
      </c>
      <c r="D691" s="6" t="s">
        <v>46</v>
      </c>
      <c r="E691" s="6" t="s">
        <v>156</v>
      </c>
      <c r="F691" s="4">
        <v>72188.795682919852</v>
      </c>
    </row>
    <row r="692" spans="2:6" x14ac:dyDescent="0.25">
      <c r="B692" s="5">
        <v>41831</v>
      </c>
      <c r="C692" s="6" t="s">
        <v>8</v>
      </c>
      <c r="D692" s="6" t="s">
        <v>26</v>
      </c>
      <c r="E692" s="6" t="s">
        <v>168</v>
      </c>
      <c r="F692" s="4">
        <v>61028.213217568067</v>
      </c>
    </row>
    <row r="693" spans="2:6" x14ac:dyDescent="0.25">
      <c r="B693" s="5">
        <v>41835</v>
      </c>
      <c r="C693" s="6" t="s">
        <v>8</v>
      </c>
      <c r="D693" s="6" t="s">
        <v>23</v>
      </c>
      <c r="E693" s="6" t="s">
        <v>41</v>
      </c>
      <c r="F693" s="4">
        <v>82861.614523845783</v>
      </c>
    </row>
    <row r="694" spans="2:6" x14ac:dyDescent="0.25">
      <c r="B694" s="5">
        <v>41835</v>
      </c>
      <c r="C694" s="6" t="s">
        <v>8</v>
      </c>
      <c r="D694" s="6" t="s">
        <v>28</v>
      </c>
      <c r="E694" s="6" t="s">
        <v>94</v>
      </c>
      <c r="F694" s="4">
        <v>70285.509690338164</v>
      </c>
    </row>
    <row r="695" spans="2:6" x14ac:dyDescent="0.25">
      <c r="B695" s="5">
        <v>41836</v>
      </c>
      <c r="C695" s="6" t="s">
        <v>11</v>
      </c>
      <c r="D695" s="6" t="s">
        <v>43</v>
      </c>
      <c r="E695" s="6" t="s">
        <v>71</v>
      </c>
      <c r="F695" s="4">
        <v>66059.470873784288</v>
      </c>
    </row>
    <row r="696" spans="2:6" x14ac:dyDescent="0.25">
      <c r="B696" s="5">
        <v>41837</v>
      </c>
      <c r="C696" s="6" t="s">
        <v>5</v>
      </c>
      <c r="D696" s="6" t="s">
        <v>46</v>
      </c>
      <c r="E696" s="6" t="s">
        <v>171</v>
      </c>
      <c r="F696" s="4">
        <v>50833.997667122472</v>
      </c>
    </row>
    <row r="697" spans="2:6" x14ac:dyDescent="0.25">
      <c r="B697" s="5">
        <v>41838</v>
      </c>
      <c r="C697" s="6" t="s">
        <v>14</v>
      </c>
      <c r="D697" s="6" t="s">
        <v>23</v>
      </c>
      <c r="E697" s="6" t="s">
        <v>25</v>
      </c>
      <c r="F697" s="4">
        <v>19105.383368386825</v>
      </c>
    </row>
    <row r="698" spans="2:6" x14ac:dyDescent="0.25">
      <c r="B698" s="5">
        <v>41840</v>
      </c>
      <c r="C698" s="6" t="s">
        <v>5</v>
      </c>
      <c r="D698" s="6" t="s">
        <v>33</v>
      </c>
      <c r="E698" s="6" t="s">
        <v>10</v>
      </c>
      <c r="F698" s="4">
        <v>89201.718168603751</v>
      </c>
    </row>
    <row r="699" spans="2:6" x14ac:dyDescent="0.25">
      <c r="B699" s="5">
        <v>41842</v>
      </c>
      <c r="C699" s="6" t="s">
        <v>5</v>
      </c>
      <c r="D699" s="6" t="s">
        <v>40</v>
      </c>
      <c r="E699" s="6" t="s">
        <v>167</v>
      </c>
      <c r="F699" s="4">
        <v>41367.46885343115</v>
      </c>
    </row>
    <row r="700" spans="2:6" x14ac:dyDescent="0.25">
      <c r="B700" s="5">
        <v>41843</v>
      </c>
      <c r="C700" s="6" t="s">
        <v>8</v>
      </c>
      <c r="D700" s="6" t="s">
        <v>23</v>
      </c>
      <c r="E700" s="6" t="s">
        <v>105</v>
      </c>
      <c r="F700" s="4">
        <v>27313.955280187129</v>
      </c>
    </row>
    <row r="701" spans="2:6" x14ac:dyDescent="0.25">
      <c r="B701" s="5">
        <v>41846</v>
      </c>
      <c r="C701" s="6" t="s">
        <v>5</v>
      </c>
      <c r="D701" s="6" t="s">
        <v>43</v>
      </c>
      <c r="E701" s="6" t="s">
        <v>44</v>
      </c>
      <c r="F701" s="4">
        <v>56948.774528699942</v>
      </c>
    </row>
    <row r="702" spans="2:6" x14ac:dyDescent="0.25">
      <c r="B702" s="5">
        <v>41847</v>
      </c>
      <c r="C702" s="6" t="s">
        <v>5</v>
      </c>
      <c r="D702" s="6" t="s">
        <v>54</v>
      </c>
      <c r="E702" s="6" t="s">
        <v>49</v>
      </c>
      <c r="F702" s="4">
        <v>23919.120436472316</v>
      </c>
    </row>
    <row r="703" spans="2:6" x14ac:dyDescent="0.25">
      <c r="B703" s="5">
        <v>41854</v>
      </c>
      <c r="C703" s="6" t="s">
        <v>8</v>
      </c>
      <c r="D703" s="6" t="s">
        <v>18</v>
      </c>
      <c r="E703" s="6" t="s">
        <v>19</v>
      </c>
      <c r="F703" s="4">
        <v>77284.178463603253</v>
      </c>
    </row>
    <row r="704" spans="2:6" x14ac:dyDescent="0.25">
      <c r="B704" s="5">
        <v>41857</v>
      </c>
      <c r="C704" s="6" t="s">
        <v>11</v>
      </c>
      <c r="D704" s="6" t="s">
        <v>26</v>
      </c>
      <c r="E704" s="6" t="s">
        <v>107</v>
      </c>
      <c r="F704" s="4">
        <v>22733.064496355855</v>
      </c>
    </row>
    <row r="705" spans="2:6" x14ac:dyDescent="0.25">
      <c r="B705" s="5">
        <v>41861</v>
      </c>
      <c r="C705" s="6" t="s">
        <v>8</v>
      </c>
      <c r="D705" s="6" t="s">
        <v>33</v>
      </c>
      <c r="E705" s="6" t="s">
        <v>160</v>
      </c>
      <c r="F705" s="4">
        <v>75174.309667205307</v>
      </c>
    </row>
    <row r="706" spans="2:6" x14ac:dyDescent="0.25">
      <c r="B706" s="5">
        <v>41861</v>
      </c>
      <c r="C706" s="6" t="s">
        <v>8</v>
      </c>
      <c r="D706" s="6" t="s">
        <v>9</v>
      </c>
      <c r="E706" s="6" t="s">
        <v>24</v>
      </c>
      <c r="F706" s="4">
        <v>81158.106505986099</v>
      </c>
    </row>
    <row r="707" spans="2:6" x14ac:dyDescent="0.25">
      <c r="B707" s="5">
        <v>41864</v>
      </c>
      <c r="C707" s="6" t="s">
        <v>5</v>
      </c>
      <c r="D707" s="6" t="s">
        <v>20</v>
      </c>
      <c r="E707" s="6" t="s">
        <v>171</v>
      </c>
      <c r="F707" s="4">
        <v>70281.127156296076</v>
      </c>
    </row>
    <row r="708" spans="2:6" x14ac:dyDescent="0.25">
      <c r="B708" s="5">
        <v>41864</v>
      </c>
      <c r="C708" s="6" t="s">
        <v>8</v>
      </c>
      <c r="D708" s="6" t="s">
        <v>35</v>
      </c>
      <c r="E708" s="6" t="s">
        <v>169</v>
      </c>
      <c r="F708" s="4">
        <v>34851.669164227336</v>
      </c>
    </row>
    <row r="709" spans="2:6" x14ac:dyDescent="0.25">
      <c r="B709" s="5">
        <v>41865</v>
      </c>
      <c r="C709" s="6" t="s">
        <v>14</v>
      </c>
      <c r="D709" s="6" t="s">
        <v>40</v>
      </c>
      <c r="E709" s="6" t="s">
        <v>142</v>
      </c>
      <c r="F709" s="4">
        <v>99774.899378631293</v>
      </c>
    </row>
    <row r="710" spans="2:6" x14ac:dyDescent="0.25">
      <c r="B710" s="5">
        <v>41869</v>
      </c>
      <c r="C710" s="6" t="s">
        <v>14</v>
      </c>
      <c r="D710" s="6" t="s">
        <v>28</v>
      </c>
      <c r="E710" s="6" t="s">
        <v>107</v>
      </c>
      <c r="F710" s="4">
        <v>20904.038581294433</v>
      </c>
    </row>
    <row r="711" spans="2:6" x14ac:dyDescent="0.25">
      <c r="B711" s="5">
        <v>41873</v>
      </c>
      <c r="C711" s="6" t="s">
        <v>5</v>
      </c>
      <c r="D711" s="6" t="s">
        <v>40</v>
      </c>
      <c r="E711" s="6" t="s">
        <v>27</v>
      </c>
      <c r="F711" s="4">
        <v>97611.604827747229</v>
      </c>
    </row>
    <row r="712" spans="2:6" x14ac:dyDescent="0.25">
      <c r="B712" s="5">
        <v>41876</v>
      </c>
      <c r="C712" s="6" t="s">
        <v>5</v>
      </c>
      <c r="D712" s="6" t="s">
        <v>12</v>
      </c>
      <c r="E712" s="6" t="s">
        <v>130</v>
      </c>
      <c r="F712" s="4">
        <v>63666.878066080026</v>
      </c>
    </row>
    <row r="713" spans="2:6" x14ac:dyDescent="0.25">
      <c r="B713" s="5">
        <v>41877</v>
      </c>
      <c r="C713" s="6" t="s">
        <v>5</v>
      </c>
      <c r="D713" s="6" t="s">
        <v>20</v>
      </c>
      <c r="E713" s="6" t="s">
        <v>112</v>
      </c>
      <c r="F713" s="4">
        <v>78340.461015338631</v>
      </c>
    </row>
    <row r="714" spans="2:6" x14ac:dyDescent="0.25">
      <c r="B714" s="5">
        <v>41878</v>
      </c>
      <c r="C714" s="6" t="s">
        <v>5</v>
      </c>
      <c r="D714" s="6" t="s">
        <v>46</v>
      </c>
      <c r="E714" s="6" t="s">
        <v>128</v>
      </c>
      <c r="F714" s="4">
        <v>64697.567241107448</v>
      </c>
    </row>
    <row r="715" spans="2:6" x14ac:dyDescent="0.25">
      <c r="B715" s="5">
        <v>41878</v>
      </c>
      <c r="C715" s="6" t="s">
        <v>5</v>
      </c>
      <c r="D715" s="6" t="s">
        <v>26</v>
      </c>
      <c r="E715" s="6" t="s">
        <v>170</v>
      </c>
      <c r="F715" s="4">
        <v>54017.466226028795</v>
      </c>
    </row>
    <row r="716" spans="2:6" x14ac:dyDescent="0.25">
      <c r="B716" s="5">
        <v>41879</v>
      </c>
      <c r="C716" s="6" t="s">
        <v>8</v>
      </c>
      <c r="D716" s="6" t="s">
        <v>35</v>
      </c>
      <c r="E716" s="6" t="s">
        <v>156</v>
      </c>
      <c r="F716" s="4">
        <v>44629.318374810318</v>
      </c>
    </row>
    <row r="717" spans="2:6" x14ac:dyDescent="0.25">
      <c r="B717" s="5">
        <v>41883</v>
      </c>
      <c r="C717" s="6" t="s">
        <v>8</v>
      </c>
      <c r="D717" s="6" t="s">
        <v>26</v>
      </c>
      <c r="E717" s="6" t="s">
        <v>41</v>
      </c>
      <c r="F717" s="4">
        <v>34756.388134737623</v>
      </c>
    </row>
    <row r="718" spans="2:6" x14ac:dyDescent="0.25">
      <c r="B718" s="5">
        <v>41890</v>
      </c>
      <c r="C718" s="6" t="s">
        <v>14</v>
      </c>
      <c r="D718" s="6" t="s">
        <v>23</v>
      </c>
      <c r="E718" s="6" t="s">
        <v>69</v>
      </c>
      <c r="F718" s="4">
        <v>50268.383447170294</v>
      </c>
    </row>
    <row r="719" spans="2:6" x14ac:dyDescent="0.25">
      <c r="B719" s="5">
        <v>41890</v>
      </c>
      <c r="C719" s="6" t="s">
        <v>8</v>
      </c>
      <c r="D719" s="6" t="s">
        <v>28</v>
      </c>
      <c r="E719" s="6" t="s">
        <v>19</v>
      </c>
      <c r="F719" s="4">
        <v>83810.186079632127</v>
      </c>
    </row>
    <row r="720" spans="2:6" x14ac:dyDescent="0.25">
      <c r="B720" s="5">
        <v>41893</v>
      </c>
      <c r="C720" s="6" t="s">
        <v>8</v>
      </c>
      <c r="D720" s="6" t="s">
        <v>20</v>
      </c>
      <c r="E720" s="6" t="s">
        <v>172</v>
      </c>
      <c r="F720" s="4">
        <v>87965.256914557744</v>
      </c>
    </row>
    <row r="721" spans="2:6" x14ac:dyDescent="0.25">
      <c r="B721" s="5">
        <v>41894</v>
      </c>
      <c r="C721" s="6" t="s">
        <v>8</v>
      </c>
      <c r="D721" s="6" t="s">
        <v>12</v>
      </c>
      <c r="E721" s="6" t="s">
        <v>132</v>
      </c>
      <c r="F721" s="4">
        <v>52627.720564685704</v>
      </c>
    </row>
    <row r="722" spans="2:6" x14ac:dyDescent="0.25">
      <c r="B722" s="5">
        <v>41899</v>
      </c>
      <c r="C722" s="6" t="s">
        <v>11</v>
      </c>
      <c r="D722" s="6" t="s">
        <v>43</v>
      </c>
      <c r="E722" s="6" t="s">
        <v>172</v>
      </c>
      <c r="F722" s="4">
        <v>74984.563329609024</v>
      </c>
    </row>
    <row r="723" spans="2:6" x14ac:dyDescent="0.25">
      <c r="B723" s="5">
        <v>41902</v>
      </c>
      <c r="C723" s="6" t="s">
        <v>8</v>
      </c>
      <c r="D723" s="6" t="s">
        <v>18</v>
      </c>
      <c r="E723" s="6" t="s">
        <v>152</v>
      </c>
      <c r="F723" s="4">
        <v>12185.579674730616</v>
      </c>
    </row>
    <row r="724" spans="2:6" x14ac:dyDescent="0.25">
      <c r="B724" s="5">
        <v>41905</v>
      </c>
      <c r="C724" s="6" t="s">
        <v>5</v>
      </c>
      <c r="D724" s="6" t="s">
        <v>43</v>
      </c>
      <c r="E724" s="6" t="s">
        <v>51</v>
      </c>
      <c r="F724" s="4">
        <v>40773.168161184127</v>
      </c>
    </row>
    <row r="725" spans="2:6" x14ac:dyDescent="0.25">
      <c r="B725" s="5">
        <v>41906</v>
      </c>
      <c r="C725" s="6" t="s">
        <v>5</v>
      </c>
      <c r="D725" s="6" t="s">
        <v>43</v>
      </c>
      <c r="E725" s="6" t="s">
        <v>72</v>
      </c>
      <c r="F725" s="4">
        <v>87610.568541348257</v>
      </c>
    </row>
    <row r="726" spans="2:6" x14ac:dyDescent="0.25">
      <c r="B726" s="5">
        <v>41909</v>
      </c>
      <c r="C726" s="6" t="s">
        <v>14</v>
      </c>
      <c r="D726" s="6" t="s">
        <v>43</v>
      </c>
      <c r="E726" s="6" t="s">
        <v>22</v>
      </c>
      <c r="F726" s="4">
        <v>69813.880786820388</v>
      </c>
    </row>
    <row r="727" spans="2:6" x14ac:dyDescent="0.25">
      <c r="B727" s="5">
        <v>41911</v>
      </c>
      <c r="C727" s="6" t="s">
        <v>8</v>
      </c>
      <c r="D727" s="6" t="s">
        <v>43</v>
      </c>
      <c r="E727" s="6" t="s">
        <v>73</v>
      </c>
      <c r="F727" s="4">
        <v>91669.948267881948</v>
      </c>
    </row>
    <row r="728" spans="2:6" x14ac:dyDescent="0.25">
      <c r="B728" s="5">
        <v>41912</v>
      </c>
      <c r="C728" s="6" t="s">
        <v>5</v>
      </c>
      <c r="D728" s="6" t="s">
        <v>28</v>
      </c>
      <c r="E728" s="6" t="s">
        <v>118</v>
      </c>
      <c r="F728" s="4">
        <v>90486.010215992399</v>
      </c>
    </row>
    <row r="729" spans="2:6" x14ac:dyDescent="0.25">
      <c r="B729" s="5">
        <v>41917</v>
      </c>
      <c r="C729" s="6" t="s">
        <v>5</v>
      </c>
      <c r="D729" s="6" t="s">
        <v>9</v>
      </c>
      <c r="E729" s="6" t="s">
        <v>183</v>
      </c>
      <c r="F729" s="4">
        <v>61574.830625528775</v>
      </c>
    </row>
    <row r="730" spans="2:6" x14ac:dyDescent="0.25">
      <c r="B730" s="5">
        <v>41919</v>
      </c>
      <c r="C730" s="6" t="s">
        <v>5</v>
      </c>
      <c r="D730" s="6" t="s">
        <v>12</v>
      </c>
      <c r="E730" s="6" t="s">
        <v>188</v>
      </c>
      <c r="F730" s="4">
        <v>20752.164284179784</v>
      </c>
    </row>
    <row r="731" spans="2:6" x14ac:dyDescent="0.25">
      <c r="B731" s="5">
        <v>41921</v>
      </c>
      <c r="C731" s="6" t="s">
        <v>5</v>
      </c>
      <c r="D731" s="6" t="s">
        <v>12</v>
      </c>
      <c r="E731" s="6" t="s">
        <v>161</v>
      </c>
      <c r="F731" s="4">
        <v>93337.922091379543</v>
      </c>
    </row>
    <row r="732" spans="2:6" x14ac:dyDescent="0.25">
      <c r="B732" s="5">
        <v>41921</v>
      </c>
      <c r="C732" s="6" t="s">
        <v>11</v>
      </c>
      <c r="D732" s="6" t="s">
        <v>28</v>
      </c>
      <c r="E732" s="6" t="s">
        <v>111</v>
      </c>
      <c r="F732" s="4">
        <v>41949.851298829199</v>
      </c>
    </row>
    <row r="733" spans="2:6" x14ac:dyDescent="0.25">
      <c r="B733" s="5">
        <v>41923</v>
      </c>
      <c r="C733" s="6" t="s">
        <v>5</v>
      </c>
      <c r="D733" s="6" t="s">
        <v>33</v>
      </c>
      <c r="E733" s="6" t="s">
        <v>49</v>
      </c>
      <c r="F733" s="4">
        <v>58704.63383088119</v>
      </c>
    </row>
    <row r="734" spans="2:6" x14ac:dyDescent="0.25">
      <c r="B734" s="5">
        <v>41925</v>
      </c>
      <c r="C734" s="6" t="s">
        <v>8</v>
      </c>
      <c r="D734" s="6" t="s">
        <v>18</v>
      </c>
      <c r="E734" s="6" t="s">
        <v>166</v>
      </c>
      <c r="F734" s="4">
        <v>64231.354020314087</v>
      </c>
    </row>
    <row r="735" spans="2:6" x14ac:dyDescent="0.25">
      <c r="B735" s="5">
        <v>41925</v>
      </c>
      <c r="C735" s="6" t="s">
        <v>14</v>
      </c>
      <c r="D735" s="6" t="s">
        <v>33</v>
      </c>
      <c r="E735" s="6" t="s">
        <v>81</v>
      </c>
      <c r="F735" s="4">
        <v>27027.373659334356</v>
      </c>
    </row>
    <row r="736" spans="2:6" x14ac:dyDescent="0.25">
      <c r="B736" s="5">
        <v>41926</v>
      </c>
      <c r="C736" s="6" t="s">
        <v>5</v>
      </c>
      <c r="D736" s="6" t="s">
        <v>15</v>
      </c>
      <c r="E736" s="6" t="s">
        <v>169</v>
      </c>
      <c r="F736" s="4">
        <v>84161.991266846235</v>
      </c>
    </row>
    <row r="737" spans="2:6" x14ac:dyDescent="0.25">
      <c r="B737" s="5">
        <v>41926</v>
      </c>
      <c r="C737" s="6" t="s">
        <v>5</v>
      </c>
      <c r="D737" s="6" t="s">
        <v>35</v>
      </c>
      <c r="E737" s="6" t="s">
        <v>85</v>
      </c>
      <c r="F737" s="4">
        <v>61289.06881641729</v>
      </c>
    </row>
    <row r="738" spans="2:6" x14ac:dyDescent="0.25">
      <c r="B738" s="5">
        <v>41927</v>
      </c>
      <c r="C738" s="6" t="s">
        <v>11</v>
      </c>
      <c r="D738" s="6" t="s">
        <v>33</v>
      </c>
      <c r="E738" s="6" t="s">
        <v>144</v>
      </c>
      <c r="F738" s="4">
        <v>52339.173989341783</v>
      </c>
    </row>
    <row r="739" spans="2:6" x14ac:dyDescent="0.25">
      <c r="B739" s="5">
        <v>41930</v>
      </c>
      <c r="C739" s="6" t="s">
        <v>14</v>
      </c>
      <c r="D739" s="6" t="s">
        <v>46</v>
      </c>
      <c r="E739" s="6" t="s">
        <v>73</v>
      </c>
      <c r="F739" s="4">
        <v>26686.40646816216</v>
      </c>
    </row>
    <row r="740" spans="2:6" x14ac:dyDescent="0.25">
      <c r="B740" s="5">
        <v>41931</v>
      </c>
      <c r="C740" s="6" t="s">
        <v>11</v>
      </c>
      <c r="D740" s="6" t="s">
        <v>33</v>
      </c>
      <c r="E740" s="6" t="s">
        <v>141</v>
      </c>
      <c r="F740" s="4">
        <v>35856.752543111797</v>
      </c>
    </row>
    <row r="741" spans="2:6" x14ac:dyDescent="0.25">
      <c r="B741" s="5">
        <v>41935</v>
      </c>
      <c r="C741" s="6" t="s">
        <v>14</v>
      </c>
      <c r="D741" s="6" t="s">
        <v>26</v>
      </c>
      <c r="E741" s="6" t="s">
        <v>89</v>
      </c>
      <c r="F741" s="4">
        <v>51216.35163954812</v>
      </c>
    </row>
    <row r="742" spans="2:6" x14ac:dyDescent="0.25">
      <c r="B742" s="5">
        <v>41935</v>
      </c>
      <c r="C742" s="6" t="s">
        <v>14</v>
      </c>
      <c r="D742" s="6" t="s">
        <v>35</v>
      </c>
      <c r="E742" s="6" t="s">
        <v>17</v>
      </c>
      <c r="F742" s="4">
        <v>78131.936459333243</v>
      </c>
    </row>
    <row r="743" spans="2:6" x14ac:dyDescent="0.25">
      <c r="B743" s="5">
        <v>41936</v>
      </c>
      <c r="C743" s="6" t="s">
        <v>5</v>
      </c>
      <c r="D743" s="6" t="s">
        <v>23</v>
      </c>
      <c r="E743" s="6" t="s">
        <v>72</v>
      </c>
      <c r="F743" s="4">
        <v>36670.405962497076</v>
      </c>
    </row>
    <row r="744" spans="2:6" x14ac:dyDescent="0.25">
      <c r="B744" s="5">
        <v>41936</v>
      </c>
      <c r="C744" s="6" t="s">
        <v>5</v>
      </c>
      <c r="D744" s="6" t="s">
        <v>35</v>
      </c>
      <c r="E744" s="6" t="s">
        <v>161</v>
      </c>
      <c r="F744" s="4">
        <v>88473.798823299774</v>
      </c>
    </row>
    <row r="745" spans="2:6" x14ac:dyDescent="0.25">
      <c r="B745" s="5">
        <v>41938</v>
      </c>
      <c r="C745" s="6" t="s">
        <v>8</v>
      </c>
      <c r="D745" s="6" t="s">
        <v>18</v>
      </c>
      <c r="E745" s="6" t="s">
        <v>173</v>
      </c>
      <c r="F745" s="4">
        <v>94123.939322187623</v>
      </c>
    </row>
    <row r="746" spans="2:6" x14ac:dyDescent="0.25">
      <c r="B746" s="5">
        <v>41939</v>
      </c>
      <c r="C746" s="6" t="s">
        <v>5</v>
      </c>
      <c r="D746" s="6" t="s">
        <v>23</v>
      </c>
      <c r="E746" s="6" t="s">
        <v>98</v>
      </c>
      <c r="F746" s="4">
        <v>18735.271401202215</v>
      </c>
    </row>
    <row r="747" spans="2:6" x14ac:dyDescent="0.25">
      <c r="B747" s="5">
        <v>41943</v>
      </c>
      <c r="C747" s="6" t="s">
        <v>8</v>
      </c>
      <c r="D747" s="6" t="s">
        <v>46</v>
      </c>
      <c r="E747" s="6" t="s">
        <v>52</v>
      </c>
      <c r="F747" s="4">
        <v>24556.313389494688</v>
      </c>
    </row>
    <row r="748" spans="2:6" x14ac:dyDescent="0.25">
      <c r="B748" s="5">
        <v>41945</v>
      </c>
      <c r="C748" s="6" t="s">
        <v>14</v>
      </c>
      <c r="D748" s="6" t="s">
        <v>43</v>
      </c>
      <c r="E748" s="6" t="s">
        <v>115</v>
      </c>
      <c r="F748" s="4">
        <v>82044.717063402379</v>
      </c>
    </row>
    <row r="749" spans="2:6" x14ac:dyDescent="0.25">
      <c r="B749" s="5">
        <v>41946</v>
      </c>
      <c r="C749" s="6" t="s">
        <v>5</v>
      </c>
      <c r="D749" s="6" t="s">
        <v>15</v>
      </c>
      <c r="E749" s="6" t="s">
        <v>105</v>
      </c>
      <c r="F749" s="4">
        <v>50712.322524186959</v>
      </c>
    </row>
    <row r="750" spans="2:6" x14ac:dyDescent="0.25">
      <c r="B750" s="5">
        <v>41956</v>
      </c>
      <c r="C750" s="6" t="s">
        <v>5</v>
      </c>
      <c r="D750" s="6" t="s">
        <v>35</v>
      </c>
      <c r="E750" s="6" t="s">
        <v>144</v>
      </c>
      <c r="F750" s="4">
        <v>23506.741029900746</v>
      </c>
    </row>
    <row r="751" spans="2:6" x14ac:dyDescent="0.25">
      <c r="B751" s="5">
        <v>41957</v>
      </c>
      <c r="C751" s="6" t="s">
        <v>5</v>
      </c>
      <c r="D751" s="6" t="s">
        <v>28</v>
      </c>
      <c r="E751" s="6" t="s">
        <v>27</v>
      </c>
      <c r="F751" s="4">
        <v>47560.945699911754</v>
      </c>
    </row>
    <row r="752" spans="2:6" x14ac:dyDescent="0.25">
      <c r="B752" s="5">
        <v>41961</v>
      </c>
      <c r="C752" s="6" t="s">
        <v>11</v>
      </c>
      <c r="D752" s="6" t="s">
        <v>33</v>
      </c>
      <c r="E752" s="6" t="s">
        <v>93</v>
      </c>
      <c r="F752" s="4">
        <v>15889.10874374352</v>
      </c>
    </row>
    <row r="753" spans="2:6" x14ac:dyDescent="0.25">
      <c r="B753" s="5">
        <v>41962</v>
      </c>
      <c r="C753" s="6" t="s">
        <v>5</v>
      </c>
      <c r="D753" s="6" t="s">
        <v>54</v>
      </c>
      <c r="E753" s="6" t="s">
        <v>91</v>
      </c>
      <c r="F753" s="4">
        <v>54052.559281934198</v>
      </c>
    </row>
    <row r="754" spans="2:6" x14ac:dyDescent="0.25">
      <c r="B754" s="5">
        <v>41966</v>
      </c>
      <c r="C754" s="6" t="s">
        <v>14</v>
      </c>
      <c r="D754" s="6" t="s">
        <v>43</v>
      </c>
      <c r="E754" s="6" t="s">
        <v>119</v>
      </c>
      <c r="F754" s="4">
        <v>18477.765306271158</v>
      </c>
    </row>
    <row r="755" spans="2:6" x14ac:dyDescent="0.25">
      <c r="B755" s="5">
        <v>41967</v>
      </c>
      <c r="C755" s="6" t="s">
        <v>8</v>
      </c>
      <c r="D755" s="6" t="s">
        <v>46</v>
      </c>
      <c r="E755" s="6" t="s">
        <v>167</v>
      </c>
      <c r="F755" s="4">
        <v>10634.020931846511</v>
      </c>
    </row>
    <row r="756" spans="2:6" x14ac:dyDescent="0.25">
      <c r="B756" s="5">
        <v>41968</v>
      </c>
      <c r="C756" s="6" t="s">
        <v>5</v>
      </c>
      <c r="D756" s="6" t="s">
        <v>12</v>
      </c>
      <c r="E756" s="6" t="s">
        <v>37</v>
      </c>
      <c r="F756" s="4">
        <v>83050.577261282029</v>
      </c>
    </row>
    <row r="757" spans="2:6" x14ac:dyDescent="0.25">
      <c r="B757" s="5">
        <v>41971</v>
      </c>
      <c r="C757" s="6" t="s">
        <v>5</v>
      </c>
      <c r="D757" s="6" t="s">
        <v>35</v>
      </c>
      <c r="E757" s="6" t="s">
        <v>65</v>
      </c>
      <c r="F757" s="4">
        <v>40968.848414104126</v>
      </c>
    </row>
    <row r="758" spans="2:6" x14ac:dyDescent="0.25">
      <c r="B758" s="5">
        <v>41972</v>
      </c>
      <c r="C758" s="6" t="s">
        <v>5</v>
      </c>
      <c r="D758" s="6" t="s">
        <v>12</v>
      </c>
      <c r="E758" s="6" t="s">
        <v>184</v>
      </c>
      <c r="F758" s="4">
        <v>61003.278087829516</v>
      </c>
    </row>
    <row r="759" spans="2:6" x14ac:dyDescent="0.25">
      <c r="B759" s="5">
        <v>41979</v>
      </c>
      <c r="C759" s="6" t="s">
        <v>8</v>
      </c>
      <c r="D759" s="6" t="s">
        <v>6</v>
      </c>
      <c r="E759" s="6" t="s">
        <v>161</v>
      </c>
      <c r="F759" s="4">
        <v>56301.107071261584</v>
      </c>
    </row>
    <row r="760" spans="2:6" x14ac:dyDescent="0.25">
      <c r="B760" s="5">
        <v>41980</v>
      </c>
      <c r="C760" s="6" t="s">
        <v>8</v>
      </c>
      <c r="D760" s="6" t="s">
        <v>18</v>
      </c>
      <c r="E760" s="6" t="s">
        <v>37</v>
      </c>
      <c r="F760" s="4">
        <v>81585.756035734856</v>
      </c>
    </row>
    <row r="761" spans="2:6" x14ac:dyDescent="0.25">
      <c r="B761" s="5">
        <v>41982</v>
      </c>
      <c r="C761" s="6" t="s">
        <v>14</v>
      </c>
      <c r="D761" s="6" t="s">
        <v>46</v>
      </c>
      <c r="E761" s="6" t="s">
        <v>176</v>
      </c>
      <c r="F761" s="4">
        <v>11517.329030727293</v>
      </c>
    </row>
    <row r="762" spans="2:6" x14ac:dyDescent="0.25">
      <c r="B762" s="5">
        <v>41982</v>
      </c>
      <c r="C762" s="6" t="s">
        <v>8</v>
      </c>
      <c r="D762" s="6" t="s">
        <v>18</v>
      </c>
      <c r="E762" s="6" t="s">
        <v>148</v>
      </c>
      <c r="F762" s="4">
        <v>41330.634872545241</v>
      </c>
    </row>
    <row r="763" spans="2:6" x14ac:dyDescent="0.25">
      <c r="B763" s="5">
        <v>41983</v>
      </c>
      <c r="C763" s="6" t="s">
        <v>14</v>
      </c>
      <c r="D763" s="6" t="s">
        <v>33</v>
      </c>
      <c r="E763" s="6" t="s">
        <v>7</v>
      </c>
      <c r="F763" s="4">
        <v>49761.531052992417</v>
      </c>
    </row>
    <row r="764" spans="2:6" x14ac:dyDescent="0.25">
      <c r="B764" s="5">
        <v>41987</v>
      </c>
      <c r="C764" s="6" t="s">
        <v>5</v>
      </c>
      <c r="D764" s="6" t="s">
        <v>28</v>
      </c>
      <c r="E764" s="6" t="s">
        <v>178</v>
      </c>
      <c r="F764" s="4">
        <v>15390.114457132311</v>
      </c>
    </row>
    <row r="765" spans="2:6" x14ac:dyDescent="0.25">
      <c r="B765" s="5">
        <v>41989</v>
      </c>
      <c r="C765" s="6" t="s">
        <v>5</v>
      </c>
      <c r="D765" s="6" t="s">
        <v>20</v>
      </c>
      <c r="E765" s="6" t="s">
        <v>90</v>
      </c>
      <c r="F765" s="4">
        <v>50795.641729377705</v>
      </c>
    </row>
    <row r="766" spans="2:6" x14ac:dyDescent="0.25">
      <c r="B766" s="5">
        <v>41993</v>
      </c>
      <c r="C766" s="6" t="s">
        <v>5</v>
      </c>
      <c r="D766" s="6" t="s">
        <v>15</v>
      </c>
      <c r="E766" s="6" t="s">
        <v>160</v>
      </c>
      <c r="F766" s="4">
        <v>26720.251206318906</v>
      </c>
    </row>
    <row r="767" spans="2:6" x14ac:dyDescent="0.25">
      <c r="B767" s="5">
        <v>41993</v>
      </c>
      <c r="C767" s="6" t="s">
        <v>11</v>
      </c>
      <c r="D767" s="6" t="s">
        <v>33</v>
      </c>
      <c r="E767" s="6" t="s">
        <v>158</v>
      </c>
      <c r="F767" s="4">
        <v>67103.186014624196</v>
      </c>
    </row>
    <row r="768" spans="2:6" x14ac:dyDescent="0.25">
      <c r="B768" s="5">
        <v>41995</v>
      </c>
      <c r="C768" s="6" t="s">
        <v>8</v>
      </c>
      <c r="D768" s="6" t="s">
        <v>43</v>
      </c>
      <c r="E768" s="6" t="s">
        <v>51</v>
      </c>
      <c r="F768" s="4">
        <v>83798.97051418967</v>
      </c>
    </row>
    <row r="769" spans="2:6" x14ac:dyDescent="0.25">
      <c r="B769" s="5">
        <v>41996</v>
      </c>
      <c r="C769" s="6" t="s">
        <v>5</v>
      </c>
      <c r="D769" s="6" t="s">
        <v>33</v>
      </c>
      <c r="E769" s="6" t="s">
        <v>80</v>
      </c>
      <c r="F769" s="4">
        <v>49711.981696079456</v>
      </c>
    </row>
    <row r="770" spans="2:6" x14ac:dyDescent="0.25">
      <c r="B770" s="5">
        <v>42001</v>
      </c>
      <c r="C770" s="6" t="s">
        <v>8</v>
      </c>
      <c r="D770" s="6" t="s">
        <v>28</v>
      </c>
      <c r="E770" s="6" t="s">
        <v>127</v>
      </c>
      <c r="F770" s="4">
        <v>92133.363820986269</v>
      </c>
    </row>
    <row r="771" spans="2:6" x14ac:dyDescent="0.25">
      <c r="B771" s="5">
        <v>42004</v>
      </c>
      <c r="C771" s="6" t="s">
        <v>5</v>
      </c>
      <c r="D771" s="6" t="s">
        <v>12</v>
      </c>
      <c r="E771" s="6" t="s">
        <v>178</v>
      </c>
      <c r="F771" s="4">
        <v>51859.770232407318</v>
      </c>
    </row>
    <row r="772" spans="2:6" x14ac:dyDescent="0.25">
      <c r="B772" s="5">
        <v>42012</v>
      </c>
      <c r="C772" s="6" t="s">
        <v>5</v>
      </c>
      <c r="D772" s="6" t="s">
        <v>28</v>
      </c>
      <c r="E772" s="6" t="s">
        <v>16</v>
      </c>
      <c r="F772" s="4">
        <v>97958.292080365209</v>
      </c>
    </row>
    <row r="773" spans="2:6" x14ac:dyDescent="0.25">
      <c r="B773" s="5">
        <v>42015</v>
      </c>
      <c r="C773" s="6" t="s">
        <v>11</v>
      </c>
      <c r="D773" s="6" t="s">
        <v>26</v>
      </c>
      <c r="E773" s="6" t="s">
        <v>117</v>
      </c>
      <c r="F773" s="4">
        <v>87660.165109163718</v>
      </c>
    </row>
    <row r="774" spans="2:6" x14ac:dyDescent="0.25">
      <c r="B774" s="5">
        <v>42016</v>
      </c>
      <c r="C774" s="6" t="s">
        <v>5</v>
      </c>
      <c r="D774" s="6" t="s">
        <v>20</v>
      </c>
      <c r="E774" s="6" t="s">
        <v>128</v>
      </c>
      <c r="F774" s="4">
        <v>40662.971280685044</v>
      </c>
    </row>
    <row r="775" spans="2:6" x14ac:dyDescent="0.25">
      <c r="B775" s="5">
        <v>42017</v>
      </c>
      <c r="C775" s="6" t="s">
        <v>8</v>
      </c>
      <c r="D775" s="6" t="s">
        <v>15</v>
      </c>
      <c r="E775" s="6" t="s">
        <v>149</v>
      </c>
      <c r="F775" s="4">
        <v>29214.234107989749</v>
      </c>
    </row>
    <row r="776" spans="2:6" x14ac:dyDescent="0.25">
      <c r="B776" s="5">
        <v>42020</v>
      </c>
      <c r="C776" s="6" t="s">
        <v>5</v>
      </c>
      <c r="D776" s="6" t="s">
        <v>15</v>
      </c>
      <c r="E776" s="6" t="s">
        <v>125</v>
      </c>
      <c r="F776" s="4">
        <v>44921.830599493122</v>
      </c>
    </row>
    <row r="777" spans="2:6" x14ac:dyDescent="0.25">
      <c r="B777" s="5">
        <v>42022</v>
      </c>
      <c r="C777" s="6" t="s">
        <v>5</v>
      </c>
      <c r="D777" s="6" t="s">
        <v>46</v>
      </c>
      <c r="E777" s="6" t="s">
        <v>109</v>
      </c>
      <c r="F777" s="4">
        <v>94707.199814414518</v>
      </c>
    </row>
    <row r="778" spans="2:6" x14ac:dyDescent="0.25">
      <c r="B778" s="5">
        <v>42031</v>
      </c>
      <c r="C778" s="6" t="s">
        <v>5</v>
      </c>
      <c r="D778" s="6" t="s">
        <v>28</v>
      </c>
      <c r="E778" s="6" t="s">
        <v>173</v>
      </c>
      <c r="F778" s="4">
        <v>97125.614961069135</v>
      </c>
    </row>
    <row r="779" spans="2:6" x14ac:dyDescent="0.25">
      <c r="B779" s="5">
        <v>42035</v>
      </c>
      <c r="C779" s="6" t="s">
        <v>5</v>
      </c>
      <c r="D779" s="6" t="s">
        <v>12</v>
      </c>
      <c r="E779" s="6" t="s">
        <v>143</v>
      </c>
      <c r="F779" s="4">
        <v>98490.966200183713</v>
      </c>
    </row>
    <row r="780" spans="2:6" x14ac:dyDescent="0.25">
      <c r="B780" s="5">
        <v>42036</v>
      </c>
      <c r="C780" s="6" t="s">
        <v>8</v>
      </c>
      <c r="D780" s="6" t="s">
        <v>54</v>
      </c>
      <c r="E780" s="6" t="s">
        <v>165</v>
      </c>
      <c r="F780" s="4">
        <v>67999.619882419487</v>
      </c>
    </row>
    <row r="781" spans="2:6" x14ac:dyDescent="0.25">
      <c r="B781" s="5">
        <v>42040</v>
      </c>
      <c r="C781" s="6" t="s">
        <v>5</v>
      </c>
      <c r="D781" s="6" t="s">
        <v>6</v>
      </c>
      <c r="E781" s="6" t="s">
        <v>114</v>
      </c>
      <c r="F781" s="4">
        <v>11838.558365429944</v>
      </c>
    </row>
    <row r="782" spans="2:6" x14ac:dyDescent="0.25">
      <c r="B782" s="5">
        <v>42041</v>
      </c>
      <c r="C782" s="6" t="s">
        <v>8</v>
      </c>
      <c r="D782" s="6" t="s">
        <v>43</v>
      </c>
      <c r="E782" s="6" t="s">
        <v>32</v>
      </c>
      <c r="F782" s="4">
        <v>54539.252461296936</v>
      </c>
    </row>
    <row r="783" spans="2:6" x14ac:dyDescent="0.25">
      <c r="B783" s="5">
        <v>42043</v>
      </c>
      <c r="C783" s="6" t="s">
        <v>5</v>
      </c>
      <c r="D783" s="6" t="s">
        <v>46</v>
      </c>
      <c r="E783" s="6" t="s">
        <v>182</v>
      </c>
      <c r="F783" s="4">
        <v>83052.983809033438</v>
      </c>
    </row>
    <row r="784" spans="2:6" x14ac:dyDescent="0.25">
      <c r="B784" s="5">
        <v>42045</v>
      </c>
      <c r="C784" s="6" t="s">
        <v>5</v>
      </c>
      <c r="D784" s="6" t="s">
        <v>6</v>
      </c>
      <c r="E784" s="6" t="s">
        <v>47</v>
      </c>
      <c r="F784" s="4">
        <v>69892.766506397558</v>
      </c>
    </row>
    <row r="785" spans="2:6" x14ac:dyDescent="0.25">
      <c r="B785" s="5">
        <v>42049</v>
      </c>
      <c r="C785" s="6" t="s">
        <v>5</v>
      </c>
      <c r="D785" s="6" t="s">
        <v>20</v>
      </c>
      <c r="E785" s="6" t="s">
        <v>100</v>
      </c>
      <c r="F785" s="4">
        <v>61749.582748093024</v>
      </c>
    </row>
    <row r="786" spans="2:6" x14ac:dyDescent="0.25">
      <c r="B786" s="5">
        <v>42052</v>
      </c>
      <c r="C786" s="6" t="s">
        <v>8</v>
      </c>
      <c r="D786" s="6" t="s">
        <v>54</v>
      </c>
      <c r="E786" s="6" t="s">
        <v>80</v>
      </c>
      <c r="F786" s="4">
        <v>51782.657594764154</v>
      </c>
    </row>
    <row r="787" spans="2:6" x14ac:dyDescent="0.25">
      <c r="B787" s="5">
        <v>42055</v>
      </c>
      <c r="C787" s="6" t="s">
        <v>8</v>
      </c>
      <c r="D787" s="6" t="s">
        <v>35</v>
      </c>
      <c r="E787" s="6" t="s">
        <v>32</v>
      </c>
      <c r="F787" s="4">
        <v>44603.144113918432</v>
      </c>
    </row>
    <row r="788" spans="2:6" x14ac:dyDescent="0.25">
      <c r="B788" s="5">
        <v>42057</v>
      </c>
      <c r="C788" s="6" t="s">
        <v>5</v>
      </c>
      <c r="D788" s="6" t="s">
        <v>20</v>
      </c>
      <c r="E788" s="6" t="s">
        <v>192</v>
      </c>
      <c r="F788" s="4">
        <v>78312.187957650633</v>
      </c>
    </row>
    <row r="789" spans="2:6" x14ac:dyDescent="0.25">
      <c r="B789" s="5">
        <v>42057</v>
      </c>
      <c r="C789" s="6" t="s">
        <v>14</v>
      </c>
      <c r="D789" s="6" t="s">
        <v>54</v>
      </c>
      <c r="E789" s="6" t="s">
        <v>61</v>
      </c>
      <c r="F789" s="4">
        <v>15466.493590998405</v>
      </c>
    </row>
    <row r="790" spans="2:6" x14ac:dyDescent="0.25">
      <c r="B790" s="5">
        <v>42062</v>
      </c>
      <c r="C790" s="6" t="s">
        <v>5</v>
      </c>
      <c r="D790" s="6" t="s">
        <v>43</v>
      </c>
      <c r="E790" s="6" t="s">
        <v>93</v>
      </c>
      <c r="F790" s="4">
        <v>94509.512731508541</v>
      </c>
    </row>
    <row r="791" spans="2:6" x14ac:dyDescent="0.25">
      <c r="B791" s="5">
        <v>42066</v>
      </c>
      <c r="C791" s="6" t="s">
        <v>8</v>
      </c>
      <c r="D791" s="6" t="s">
        <v>54</v>
      </c>
      <c r="E791" s="6" t="s">
        <v>152</v>
      </c>
      <c r="F791" s="4">
        <v>12664.783331412367</v>
      </c>
    </row>
    <row r="792" spans="2:6" x14ac:dyDescent="0.25">
      <c r="B792" s="5">
        <v>42067</v>
      </c>
      <c r="C792" s="6" t="s">
        <v>8</v>
      </c>
      <c r="D792" s="6" t="s">
        <v>26</v>
      </c>
      <c r="E792" s="6" t="s">
        <v>181</v>
      </c>
      <c r="F792" s="4">
        <v>59375.173460587735</v>
      </c>
    </row>
    <row r="793" spans="2:6" x14ac:dyDescent="0.25">
      <c r="B793" s="5">
        <v>42070</v>
      </c>
      <c r="C793" s="6" t="s">
        <v>8</v>
      </c>
      <c r="D793" s="6" t="s">
        <v>26</v>
      </c>
      <c r="E793" s="6" t="s">
        <v>48</v>
      </c>
      <c r="F793" s="4">
        <v>24457.969100331873</v>
      </c>
    </row>
    <row r="794" spans="2:6" x14ac:dyDescent="0.25">
      <c r="B794" s="5">
        <v>42070</v>
      </c>
      <c r="C794" s="6" t="s">
        <v>11</v>
      </c>
      <c r="D794" s="6" t="s">
        <v>9</v>
      </c>
      <c r="E794" s="6" t="s">
        <v>153</v>
      </c>
      <c r="F794" s="4">
        <v>80053.326015442071</v>
      </c>
    </row>
    <row r="795" spans="2:6" x14ac:dyDescent="0.25">
      <c r="B795" s="5">
        <v>42075</v>
      </c>
      <c r="C795" s="6" t="s">
        <v>5</v>
      </c>
      <c r="D795" s="6" t="s">
        <v>23</v>
      </c>
      <c r="E795" s="6" t="s">
        <v>21</v>
      </c>
      <c r="F795" s="4">
        <v>46364.109689623961</v>
      </c>
    </row>
    <row r="796" spans="2:6" x14ac:dyDescent="0.25">
      <c r="B796" s="5">
        <v>42085</v>
      </c>
      <c r="C796" s="6" t="s">
        <v>11</v>
      </c>
      <c r="D796" s="6" t="s">
        <v>46</v>
      </c>
      <c r="E796" s="6" t="s">
        <v>24</v>
      </c>
      <c r="F796" s="4">
        <v>47211.599790914566</v>
      </c>
    </row>
    <row r="797" spans="2:6" x14ac:dyDescent="0.25">
      <c r="B797" s="5">
        <v>42087</v>
      </c>
      <c r="C797" s="6" t="s">
        <v>14</v>
      </c>
      <c r="D797" s="6" t="s">
        <v>40</v>
      </c>
      <c r="E797" s="6" t="s">
        <v>167</v>
      </c>
      <c r="F797" s="4">
        <v>46558.985179975614</v>
      </c>
    </row>
    <row r="798" spans="2:6" x14ac:dyDescent="0.25">
      <c r="B798" s="5">
        <v>42087</v>
      </c>
      <c r="C798" s="6" t="s">
        <v>5</v>
      </c>
      <c r="D798" s="6" t="s">
        <v>23</v>
      </c>
      <c r="E798" s="6" t="s">
        <v>83</v>
      </c>
      <c r="F798" s="4">
        <v>10098.298584238655</v>
      </c>
    </row>
    <row r="799" spans="2:6" x14ac:dyDescent="0.25">
      <c r="B799" s="5">
        <v>42089</v>
      </c>
      <c r="C799" s="6" t="s">
        <v>5</v>
      </c>
      <c r="D799" s="6" t="s">
        <v>9</v>
      </c>
      <c r="E799" s="6" t="s">
        <v>184</v>
      </c>
      <c r="F799" s="4">
        <v>74352.781146061447</v>
      </c>
    </row>
    <row r="800" spans="2:6" x14ac:dyDescent="0.25">
      <c r="B800" s="5">
        <v>42091</v>
      </c>
      <c r="C800" s="6" t="s">
        <v>8</v>
      </c>
      <c r="D800" s="6" t="s">
        <v>33</v>
      </c>
      <c r="E800" s="6" t="s">
        <v>133</v>
      </c>
      <c r="F800" s="4">
        <v>41672.642694098751</v>
      </c>
    </row>
    <row r="801" spans="2:6" x14ac:dyDescent="0.25">
      <c r="B801" s="5">
        <v>42096</v>
      </c>
      <c r="C801" s="6" t="s">
        <v>8</v>
      </c>
      <c r="D801" s="6" t="s">
        <v>6</v>
      </c>
      <c r="E801" s="6" t="s">
        <v>133</v>
      </c>
      <c r="F801" s="4">
        <v>71632.954263927299</v>
      </c>
    </row>
    <row r="802" spans="2:6" x14ac:dyDescent="0.25">
      <c r="B802" s="5">
        <v>42098</v>
      </c>
      <c r="C802" s="6" t="s">
        <v>8</v>
      </c>
      <c r="D802" s="6" t="s">
        <v>15</v>
      </c>
      <c r="E802" s="6" t="s">
        <v>97</v>
      </c>
      <c r="F802" s="4">
        <v>58758.600022231614</v>
      </c>
    </row>
    <row r="803" spans="2:6" x14ac:dyDescent="0.25">
      <c r="B803" s="5">
        <v>42100</v>
      </c>
      <c r="C803" s="6" t="s">
        <v>5</v>
      </c>
      <c r="D803" s="6" t="s">
        <v>18</v>
      </c>
      <c r="E803" s="6" t="s">
        <v>179</v>
      </c>
      <c r="F803" s="4">
        <v>98586.149865558764</v>
      </c>
    </row>
    <row r="804" spans="2:6" x14ac:dyDescent="0.25">
      <c r="B804" s="5">
        <v>42101</v>
      </c>
      <c r="C804" s="6" t="s">
        <v>11</v>
      </c>
      <c r="D804" s="6" t="s">
        <v>9</v>
      </c>
      <c r="E804" s="6" t="s">
        <v>191</v>
      </c>
      <c r="F804" s="4">
        <v>23371.574285626153</v>
      </c>
    </row>
    <row r="805" spans="2:6" x14ac:dyDescent="0.25">
      <c r="B805" s="5">
        <v>42103</v>
      </c>
      <c r="C805" s="6" t="s">
        <v>5</v>
      </c>
      <c r="D805" s="6" t="s">
        <v>46</v>
      </c>
      <c r="E805" s="6" t="s">
        <v>73</v>
      </c>
      <c r="F805" s="4">
        <v>77425.449817306959</v>
      </c>
    </row>
    <row r="806" spans="2:6" x14ac:dyDescent="0.25">
      <c r="B806" s="5">
        <v>42103</v>
      </c>
      <c r="C806" s="6" t="s">
        <v>5</v>
      </c>
      <c r="D806" s="6" t="s">
        <v>12</v>
      </c>
      <c r="E806" s="6" t="s">
        <v>170</v>
      </c>
      <c r="F806" s="4">
        <v>38994.507637645213</v>
      </c>
    </row>
    <row r="807" spans="2:6" x14ac:dyDescent="0.25">
      <c r="B807" s="5">
        <v>42103</v>
      </c>
      <c r="C807" s="6" t="s">
        <v>5</v>
      </c>
      <c r="D807" s="6" t="s">
        <v>20</v>
      </c>
      <c r="E807" s="6" t="s">
        <v>140</v>
      </c>
      <c r="F807" s="4">
        <v>97698.424992817745</v>
      </c>
    </row>
    <row r="808" spans="2:6" x14ac:dyDescent="0.25">
      <c r="B808" s="5">
        <v>42103</v>
      </c>
      <c r="C808" s="6" t="s">
        <v>5</v>
      </c>
      <c r="D808" s="6" t="s">
        <v>43</v>
      </c>
      <c r="E808" s="6" t="s">
        <v>117</v>
      </c>
      <c r="F808" s="4">
        <v>50554.463635052794</v>
      </c>
    </row>
    <row r="809" spans="2:6" x14ac:dyDescent="0.25">
      <c r="B809" s="5">
        <v>42108</v>
      </c>
      <c r="C809" s="6" t="s">
        <v>14</v>
      </c>
      <c r="D809" s="6" t="s">
        <v>20</v>
      </c>
      <c r="E809" s="6" t="s">
        <v>133</v>
      </c>
      <c r="F809" s="4">
        <v>21847.125366976084</v>
      </c>
    </row>
    <row r="810" spans="2:6" x14ac:dyDescent="0.25">
      <c r="B810" s="5">
        <v>42108</v>
      </c>
      <c r="C810" s="6" t="s">
        <v>5</v>
      </c>
      <c r="D810" s="6" t="s">
        <v>26</v>
      </c>
      <c r="E810" s="6" t="s">
        <v>63</v>
      </c>
      <c r="F810" s="4">
        <v>51616.461364615781</v>
      </c>
    </row>
    <row r="811" spans="2:6" x14ac:dyDescent="0.25">
      <c r="B811" s="5">
        <v>42108</v>
      </c>
      <c r="C811" s="6" t="s">
        <v>5</v>
      </c>
      <c r="D811" s="6" t="s">
        <v>26</v>
      </c>
      <c r="E811" s="6" t="s">
        <v>156</v>
      </c>
      <c r="F811" s="4">
        <v>85671.784210796526</v>
      </c>
    </row>
    <row r="812" spans="2:6" x14ac:dyDescent="0.25">
      <c r="B812" s="5">
        <v>42108</v>
      </c>
      <c r="C812" s="6" t="s">
        <v>5</v>
      </c>
      <c r="D812" s="6" t="s">
        <v>28</v>
      </c>
      <c r="E812" s="6" t="s">
        <v>159</v>
      </c>
      <c r="F812" s="4">
        <v>84618.123425112339</v>
      </c>
    </row>
    <row r="813" spans="2:6" x14ac:dyDescent="0.25">
      <c r="B813" s="5">
        <v>42117</v>
      </c>
      <c r="C813" s="6" t="s">
        <v>14</v>
      </c>
      <c r="D813" s="6" t="s">
        <v>9</v>
      </c>
      <c r="E813" s="6" t="s">
        <v>113</v>
      </c>
      <c r="F813" s="4">
        <v>36381.546422990228</v>
      </c>
    </row>
    <row r="814" spans="2:6" x14ac:dyDescent="0.25">
      <c r="B814" s="5">
        <v>42119</v>
      </c>
      <c r="C814" s="6" t="s">
        <v>14</v>
      </c>
      <c r="D814" s="6" t="s">
        <v>54</v>
      </c>
      <c r="E814" s="6" t="s">
        <v>163</v>
      </c>
      <c r="F814" s="4">
        <v>77932.949306443392</v>
      </c>
    </row>
    <row r="815" spans="2:6" x14ac:dyDescent="0.25">
      <c r="B815" s="5">
        <v>42125</v>
      </c>
      <c r="C815" s="6" t="s">
        <v>5</v>
      </c>
      <c r="D815" s="6" t="s">
        <v>54</v>
      </c>
      <c r="E815" s="6" t="s">
        <v>57</v>
      </c>
      <c r="F815" s="4">
        <v>85275.445632181043</v>
      </c>
    </row>
    <row r="816" spans="2:6" x14ac:dyDescent="0.25">
      <c r="B816" s="5">
        <v>42130</v>
      </c>
      <c r="C816" s="6" t="s">
        <v>5</v>
      </c>
      <c r="D816" s="6" t="s">
        <v>12</v>
      </c>
      <c r="E816" s="6" t="s">
        <v>148</v>
      </c>
      <c r="F816" s="4">
        <v>50154.770006414918</v>
      </c>
    </row>
    <row r="817" spans="2:6" x14ac:dyDescent="0.25">
      <c r="B817" s="5">
        <v>42133</v>
      </c>
      <c r="C817" s="6" t="s">
        <v>5</v>
      </c>
      <c r="D817" s="6" t="s">
        <v>6</v>
      </c>
      <c r="E817" s="6" t="s">
        <v>125</v>
      </c>
      <c r="F817" s="4">
        <v>41490.887784320556</v>
      </c>
    </row>
    <row r="818" spans="2:6" x14ac:dyDescent="0.25">
      <c r="B818" s="5">
        <v>42135</v>
      </c>
      <c r="C818" s="6" t="s">
        <v>11</v>
      </c>
      <c r="D818" s="6" t="s">
        <v>26</v>
      </c>
      <c r="E818" s="6" t="s">
        <v>186</v>
      </c>
      <c r="F818" s="4">
        <v>84842.126495704972</v>
      </c>
    </row>
    <row r="819" spans="2:6" x14ac:dyDescent="0.25">
      <c r="B819" s="5">
        <v>42137</v>
      </c>
      <c r="C819" s="6" t="s">
        <v>5</v>
      </c>
      <c r="D819" s="6" t="s">
        <v>9</v>
      </c>
      <c r="E819" s="6" t="s">
        <v>155</v>
      </c>
      <c r="F819" s="4">
        <v>96105.971052126726</v>
      </c>
    </row>
    <row r="820" spans="2:6" x14ac:dyDescent="0.25">
      <c r="B820" s="5">
        <v>42138</v>
      </c>
      <c r="C820" s="6" t="s">
        <v>5</v>
      </c>
      <c r="D820" s="6" t="s">
        <v>33</v>
      </c>
      <c r="E820" s="6" t="s">
        <v>170</v>
      </c>
      <c r="F820" s="4">
        <v>19745.479337831905</v>
      </c>
    </row>
    <row r="821" spans="2:6" x14ac:dyDescent="0.25">
      <c r="B821" s="5">
        <v>42139</v>
      </c>
      <c r="C821" s="6" t="s">
        <v>14</v>
      </c>
      <c r="D821" s="6" t="s">
        <v>12</v>
      </c>
      <c r="E821" s="6" t="s">
        <v>184</v>
      </c>
      <c r="F821" s="4">
        <v>58386.780571376185</v>
      </c>
    </row>
    <row r="822" spans="2:6" x14ac:dyDescent="0.25">
      <c r="B822" s="5">
        <v>42144</v>
      </c>
      <c r="C822" s="6" t="s">
        <v>8</v>
      </c>
      <c r="D822" s="6" t="s">
        <v>26</v>
      </c>
      <c r="E822" s="6" t="s">
        <v>61</v>
      </c>
      <c r="F822" s="4">
        <v>53686.725629305249</v>
      </c>
    </row>
    <row r="823" spans="2:6" x14ac:dyDescent="0.25">
      <c r="B823" s="5">
        <v>42145</v>
      </c>
      <c r="C823" s="6" t="s">
        <v>8</v>
      </c>
      <c r="D823" s="6" t="s">
        <v>12</v>
      </c>
      <c r="E823" s="6" t="s">
        <v>179</v>
      </c>
      <c r="F823" s="4">
        <v>61886.989814636967</v>
      </c>
    </row>
    <row r="824" spans="2:6" x14ac:dyDescent="0.25">
      <c r="B824" s="5">
        <v>42149</v>
      </c>
      <c r="C824" s="6" t="s">
        <v>5</v>
      </c>
      <c r="D824" s="6" t="s">
        <v>12</v>
      </c>
      <c r="E824" s="6" t="s">
        <v>37</v>
      </c>
      <c r="F824" s="4">
        <v>27470.185231103289</v>
      </c>
    </row>
    <row r="825" spans="2:6" x14ac:dyDescent="0.25">
      <c r="B825" s="5">
        <v>42151</v>
      </c>
      <c r="C825" s="6" t="s">
        <v>5</v>
      </c>
      <c r="D825" s="6" t="s">
        <v>43</v>
      </c>
      <c r="E825" s="6" t="s">
        <v>10</v>
      </c>
      <c r="F825" s="4">
        <v>48838.525399052109</v>
      </c>
    </row>
    <row r="826" spans="2:6" x14ac:dyDescent="0.25">
      <c r="B826" s="5">
        <v>42157</v>
      </c>
      <c r="C826" s="6" t="s">
        <v>5</v>
      </c>
      <c r="D826" s="6" t="s">
        <v>9</v>
      </c>
      <c r="E826" s="6" t="s">
        <v>24</v>
      </c>
      <c r="F826" s="4">
        <v>47614.794533497814</v>
      </c>
    </row>
    <row r="827" spans="2:6" x14ac:dyDescent="0.25">
      <c r="B827" s="5">
        <v>42159</v>
      </c>
      <c r="C827" s="6" t="s">
        <v>5</v>
      </c>
      <c r="D827" s="6" t="s">
        <v>6</v>
      </c>
      <c r="E827" s="6" t="s">
        <v>19</v>
      </c>
      <c r="F827" s="4">
        <v>67226.374862228913</v>
      </c>
    </row>
    <row r="828" spans="2:6" x14ac:dyDescent="0.25">
      <c r="B828" s="5">
        <v>42159</v>
      </c>
      <c r="C828" s="6" t="s">
        <v>5</v>
      </c>
      <c r="D828" s="6" t="s">
        <v>18</v>
      </c>
      <c r="E828" s="6" t="s">
        <v>70</v>
      </c>
      <c r="F828" s="4">
        <v>46151.059188980893</v>
      </c>
    </row>
    <row r="829" spans="2:6" x14ac:dyDescent="0.25">
      <c r="B829" s="5">
        <v>42160</v>
      </c>
      <c r="C829" s="6" t="s">
        <v>5</v>
      </c>
      <c r="D829" s="6" t="s">
        <v>6</v>
      </c>
      <c r="E829" s="6" t="s">
        <v>92</v>
      </c>
      <c r="F829" s="4">
        <v>41868.251311666514</v>
      </c>
    </row>
    <row r="830" spans="2:6" x14ac:dyDescent="0.25">
      <c r="B830" s="5">
        <v>42165</v>
      </c>
      <c r="C830" s="6" t="s">
        <v>5</v>
      </c>
      <c r="D830" s="6" t="s">
        <v>9</v>
      </c>
      <c r="E830" s="6" t="s">
        <v>128</v>
      </c>
      <c r="F830" s="4">
        <v>16568.709425430538</v>
      </c>
    </row>
    <row r="831" spans="2:6" x14ac:dyDescent="0.25">
      <c r="B831" s="5">
        <v>42165</v>
      </c>
      <c r="C831" s="6" t="s">
        <v>14</v>
      </c>
      <c r="D831" s="6" t="s">
        <v>23</v>
      </c>
      <c r="E831" s="6" t="s">
        <v>110</v>
      </c>
      <c r="F831" s="4">
        <v>96274.285943330644</v>
      </c>
    </row>
    <row r="832" spans="2:6" x14ac:dyDescent="0.25">
      <c r="B832" s="5">
        <v>42166</v>
      </c>
      <c r="C832" s="6" t="s">
        <v>8</v>
      </c>
      <c r="D832" s="6" t="s">
        <v>6</v>
      </c>
      <c r="E832" s="6" t="s">
        <v>111</v>
      </c>
      <c r="F832" s="4">
        <v>85824.975815648941</v>
      </c>
    </row>
    <row r="833" spans="2:6" x14ac:dyDescent="0.25">
      <c r="B833" s="5">
        <v>42167</v>
      </c>
      <c r="C833" s="6" t="s">
        <v>8</v>
      </c>
      <c r="D833" s="6" t="s">
        <v>54</v>
      </c>
      <c r="E833" s="6" t="s">
        <v>148</v>
      </c>
      <c r="F833" s="4">
        <v>10765.447091148164</v>
      </c>
    </row>
    <row r="834" spans="2:6" x14ac:dyDescent="0.25">
      <c r="B834" s="5">
        <v>42170</v>
      </c>
      <c r="C834" s="6" t="s">
        <v>8</v>
      </c>
      <c r="D834" s="6" t="s">
        <v>46</v>
      </c>
      <c r="E834" s="6" t="s">
        <v>121</v>
      </c>
      <c r="F834" s="4">
        <v>85788.518100339468</v>
      </c>
    </row>
    <row r="835" spans="2:6" x14ac:dyDescent="0.25">
      <c r="B835" s="5">
        <v>42172</v>
      </c>
      <c r="C835" s="6" t="s">
        <v>5</v>
      </c>
      <c r="D835" s="6" t="s">
        <v>18</v>
      </c>
      <c r="E835" s="6" t="s">
        <v>122</v>
      </c>
      <c r="F835" s="4">
        <v>24194.578351163789</v>
      </c>
    </row>
    <row r="836" spans="2:6" x14ac:dyDescent="0.25">
      <c r="B836" s="5">
        <v>42173</v>
      </c>
      <c r="C836" s="6" t="s">
        <v>5</v>
      </c>
      <c r="D836" s="6" t="s">
        <v>43</v>
      </c>
      <c r="E836" s="6" t="s">
        <v>116</v>
      </c>
      <c r="F836" s="4">
        <v>51101.244189105833</v>
      </c>
    </row>
    <row r="837" spans="2:6" x14ac:dyDescent="0.25">
      <c r="B837" s="5">
        <v>42176</v>
      </c>
      <c r="C837" s="6" t="s">
        <v>8</v>
      </c>
      <c r="D837" s="6" t="s">
        <v>28</v>
      </c>
      <c r="E837" s="6" t="s">
        <v>13</v>
      </c>
      <c r="F837" s="4">
        <v>45322.697349077112</v>
      </c>
    </row>
    <row r="838" spans="2:6" x14ac:dyDescent="0.25">
      <c r="B838" s="5">
        <v>42177</v>
      </c>
      <c r="C838" s="6" t="s">
        <v>5</v>
      </c>
      <c r="D838" s="6" t="s">
        <v>23</v>
      </c>
      <c r="E838" s="6" t="s">
        <v>143</v>
      </c>
      <c r="F838" s="4">
        <v>52479.887573981374</v>
      </c>
    </row>
    <row r="839" spans="2:6" x14ac:dyDescent="0.25">
      <c r="B839" s="5">
        <v>42182</v>
      </c>
      <c r="C839" s="6" t="s">
        <v>8</v>
      </c>
      <c r="D839" s="6" t="s">
        <v>9</v>
      </c>
      <c r="E839" s="6" t="s">
        <v>65</v>
      </c>
      <c r="F839" s="4">
        <v>70413.610783493306</v>
      </c>
    </row>
    <row r="840" spans="2:6" x14ac:dyDescent="0.25">
      <c r="B840" s="5">
        <v>42183</v>
      </c>
      <c r="C840" s="6" t="s">
        <v>5</v>
      </c>
      <c r="D840" s="6" t="s">
        <v>23</v>
      </c>
      <c r="E840" s="6" t="s">
        <v>120</v>
      </c>
      <c r="F840" s="4">
        <v>37536.431937276779</v>
      </c>
    </row>
    <row r="841" spans="2:6" x14ac:dyDescent="0.25">
      <c r="B841" s="5">
        <v>42183</v>
      </c>
      <c r="C841" s="6" t="s">
        <v>14</v>
      </c>
      <c r="D841" s="6" t="s">
        <v>18</v>
      </c>
      <c r="E841" s="6" t="s">
        <v>116</v>
      </c>
      <c r="F841" s="4">
        <v>47339.461183316125</v>
      </c>
    </row>
    <row r="842" spans="2:6" x14ac:dyDescent="0.25">
      <c r="B842" s="5">
        <v>42186</v>
      </c>
      <c r="C842" s="6" t="s">
        <v>8</v>
      </c>
      <c r="D842" s="6" t="s">
        <v>6</v>
      </c>
      <c r="E842" s="6" t="s">
        <v>25</v>
      </c>
      <c r="F842" s="4">
        <v>94304.475110989617</v>
      </c>
    </row>
    <row r="843" spans="2:6" x14ac:dyDescent="0.25">
      <c r="B843" s="5">
        <v>42186</v>
      </c>
      <c r="C843" s="6" t="s">
        <v>5</v>
      </c>
      <c r="D843" s="6" t="s">
        <v>33</v>
      </c>
      <c r="E843" s="6" t="s">
        <v>17</v>
      </c>
      <c r="F843" s="4">
        <v>78715.391370210462</v>
      </c>
    </row>
    <row r="844" spans="2:6" x14ac:dyDescent="0.25">
      <c r="B844" s="5">
        <v>42186</v>
      </c>
      <c r="C844" s="6" t="s">
        <v>5</v>
      </c>
      <c r="D844" s="6" t="s">
        <v>12</v>
      </c>
      <c r="E844" s="6" t="s">
        <v>13</v>
      </c>
      <c r="F844" s="4">
        <v>56468.053389971916</v>
      </c>
    </row>
    <row r="845" spans="2:6" x14ac:dyDescent="0.25">
      <c r="B845" s="5">
        <v>42188</v>
      </c>
      <c r="C845" s="6" t="s">
        <v>5</v>
      </c>
      <c r="D845" s="6" t="s">
        <v>28</v>
      </c>
      <c r="E845" s="6" t="s">
        <v>69</v>
      </c>
      <c r="F845" s="4">
        <v>47042.626595149464</v>
      </c>
    </row>
    <row r="846" spans="2:6" x14ac:dyDescent="0.25">
      <c r="B846" s="5">
        <v>42189</v>
      </c>
      <c r="C846" s="6" t="s">
        <v>5</v>
      </c>
      <c r="D846" s="6" t="s">
        <v>46</v>
      </c>
      <c r="E846" s="6" t="s">
        <v>109</v>
      </c>
      <c r="F846" s="4">
        <v>49496.629745606187</v>
      </c>
    </row>
    <row r="847" spans="2:6" x14ac:dyDescent="0.25">
      <c r="B847" s="5">
        <v>42196</v>
      </c>
      <c r="C847" s="6" t="s">
        <v>14</v>
      </c>
      <c r="D847" s="6" t="s">
        <v>18</v>
      </c>
      <c r="E847" s="6" t="s">
        <v>10</v>
      </c>
      <c r="F847" s="4">
        <v>23408.602474219198</v>
      </c>
    </row>
    <row r="848" spans="2:6" x14ac:dyDescent="0.25">
      <c r="B848" s="5">
        <v>42201</v>
      </c>
      <c r="C848" s="6" t="s">
        <v>5</v>
      </c>
      <c r="D848" s="6" t="s">
        <v>20</v>
      </c>
      <c r="E848" s="6" t="s">
        <v>143</v>
      </c>
      <c r="F848" s="4">
        <v>27308.444977458934</v>
      </c>
    </row>
    <row r="849" spans="2:6" x14ac:dyDescent="0.25">
      <c r="B849" s="5">
        <v>42204</v>
      </c>
      <c r="C849" s="6" t="s">
        <v>5</v>
      </c>
      <c r="D849" s="6" t="s">
        <v>43</v>
      </c>
      <c r="E849" s="6" t="s">
        <v>113</v>
      </c>
      <c r="F849" s="4">
        <v>76969.808674787317</v>
      </c>
    </row>
    <row r="850" spans="2:6" x14ac:dyDescent="0.25">
      <c r="B850" s="5">
        <v>42207</v>
      </c>
      <c r="C850" s="6" t="s">
        <v>14</v>
      </c>
      <c r="D850" s="6" t="s">
        <v>18</v>
      </c>
      <c r="E850" s="6" t="s">
        <v>168</v>
      </c>
      <c r="F850" s="4">
        <v>93735.810651155523</v>
      </c>
    </row>
    <row r="851" spans="2:6" x14ac:dyDescent="0.25">
      <c r="B851" s="5">
        <v>42208</v>
      </c>
      <c r="C851" s="6" t="s">
        <v>11</v>
      </c>
      <c r="D851" s="6" t="s">
        <v>20</v>
      </c>
      <c r="E851" s="6" t="s">
        <v>108</v>
      </c>
      <c r="F851" s="4">
        <v>34726.826521181152</v>
      </c>
    </row>
    <row r="852" spans="2:6" x14ac:dyDescent="0.25">
      <c r="B852" s="5">
        <v>42210</v>
      </c>
      <c r="C852" s="6" t="s">
        <v>14</v>
      </c>
      <c r="D852" s="6" t="s">
        <v>18</v>
      </c>
      <c r="E852" s="6" t="s">
        <v>112</v>
      </c>
      <c r="F852" s="4">
        <v>38327.65337396902</v>
      </c>
    </row>
    <row r="853" spans="2:6" x14ac:dyDescent="0.25">
      <c r="B853" s="5">
        <v>42211</v>
      </c>
      <c r="C853" s="6" t="s">
        <v>14</v>
      </c>
      <c r="D853" s="6" t="s">
        <v>6</v>
      </c>
      <c r="E853" s="6" t="s">
        <v>57</v>
      </c>
      <c r="F853" s="4">
        <v>65919.502672329472</v>
      </c>
    </row>
    <row r="854" spans="2:6" x14ac:dyDescent="0.25">
      <c r="B854" s="5">
        <v>42212</v>
      </c>
      <c r="C854" s="6" t="s">
        <v>5</v>
      </c>
      <c r="D854" s="6" t="s">
        <v>23</v>
      </c>
      <c r="E854" s="6" t="s">
        <v>101</v>
      </c>
      <c r="F854" s="4">
        <v>84836.418816416204</v>
      </c>
    </row>
    <row r="855" spans="2:6" x14ac:dyDescent="0.25">
      <c r="B855" s="5">
        <v>42212</v>
      </c>
      <c r="C855" s="6" t="s">
        <v>14</v>
      </c>
      <c r="D855" s="6" t="s">
        <v>12</v>
      </c>
      <c r="E855" s="6" t="s">
        <v>120</v>
      </c>
      <c r="F855" s="4">
        <v>77997.267211213941</v>
      </c>
    </row>
    <row r="856" spans="2:6" x14ac:dyDescent="0.25">
      <c r="B856" s="5">
        <v>42213</v>
      </c>
      <c r="C856" s="6" t="s">
        <v>5</v>
      </c>
      <c r="D856" s="6" t="s">
        <v>9</v>
      </c>
      <c r="E856" s="6" t="s">
        <v>179</v>
      </c>
      <c r="F856" s="4">
        <v>72369.28954266083</v>
      </c>
    </row>
    <row r="857" spans="2:6" x14ac:dyDescent="0.25">
      <c r="B857" s="5">
        <v>42214</v>
      </c>
      <c r="C857" s="6" t="s">
        <v>8</v>
      </c>
      <c r="D857" s="6" t="s">
        <v>35</v>
      </c>
      <c r="E857" s="6" t="s">
        <v>173</v>
      </c>
      <c r="F857" s="4">
        <v>63145.994573251577</v>
      </c>
    </row>
    <row r="858" spans="2:6" x14ac:dyDescent="0.25">
      <c r="B858" s="5">
        <v>42216</v>
      </c>
      <c r="C858" s="6" t="s">
        <v>14</v>
      </c>
      <c r="D858" s="6" t="s">
        <v>26</v>
      </c>
      <c r="E858" s="6" t="s">
        <v>68</v>
      </c>
      <c r="F858" s="4">
        <v>90013.704000277707</v>
      </c>
    </row>
    <row r="859" spans="2:6" x14ac:dyDescent="0.25">
      <c r="B859" s="5">
        <v>42217</v>
      </c>
      <c r="C859" s="6" t="s">
        <v>8</v>
      </c>
      <c r="D859" s="6" t="s">
        <v>15</v>
      </c>
      <c r="E859" s="6" t="s">
        <v>57</v>
      </c>
      <c r="F859" s="4">
        <v>43284.672559876657</v>
      </c>
    </row>
    <row r="860" spans="2:6" x14ac:dyDescent="0.25">
      <c r="B860" s="5">
        <v>42218</v>
      </c>
      <c r="C860" s="6" t="s">
        <v>14</v>
      </c>
      <c r="D860" s="6" t="s">
        <v>26</v>
      </c>
      <c r="E860" s="6" t="s">
        <v>57</v>
      </c>
      <c r="F860" s="4">
        <v>10651.589778356449</v>
      </c>
    </row>
    <row r="861" spans="2:6" x14ac:dyDescent="0.25">
      <c r="B861" s="5">
        <v>42222</v>
      </c>
      <c r="C861" s="6" t="s">
        <v>11</v>
      </c>
      <c r="D861" s="6" t="s">
        <v>23</v>
      </c>
      <c r="E861" s="6" t="s">
        <v>86</v>
      </c>
      <c r="F861" s="4">
        <v>88127.41339769488</v>
      </c>
    </row>
    <row r="862" spans="2:6" x14ac:dyDescent="0.25">
      <c r="B862" s="5">
        <v>42225</v>
      </c>
      <c r="C862" s="6" t="s">
        <v>5</v>
      </c>
      <c r="D862" s="6" t="s">
        <v>28</v>
      </c>
      <c r="E862" s="6" t="s">
        <v>161</v>
      </c>
      <c r="F862" s="4">
        <v>29990.394204622262</v>
      </c>
    </row>
    <row r="863" spans="2:6" x14ac:dyDescent="0.25">
      <c r="B863" s="5">
        <v>42228</v>
      </c>
      <c r="C863" s="6" t="s">
        <v>8</v>
      </c>
      <c r="D863" s="6" t="s">
        <v>15</v>
      </c>
      <c r="E863" s="6" t="s">
        <v>92</v>
      </c>
      <c r="F863" s="4">
        <v>27257.530192407183</v>
      </c>
    </row>
    <row r="864" spans="2:6" x14ac:dyDescent="0.25">
      <c r="B864" s="5">
        <v>42230</v>
      </c>
      <c r="C864" s="6" t="s">
        <v>5</v>
      </c>
      <c r="D864" s="6" t="s">
        <v>54</v>
      </c>
      <c r="E864" s="6" t="s">
        <v>112</v>
      </c>
      <c r="F864" s="4">
        <v>30514.802637315981</v>
      </c>
    </row>
    <row r="865" spans="2:6" x14ac:dyDescent="0.25">
      <c r="B865" s="5">
        <v>42231</v>
      </c>
      <c r="C865" s="6" t="s">
        <v>11</v>
      </c>
      <c r="D865" s="6" t="s">
        <v>40</v>
      </c>
      <c r="E865" s="6" t="s">
        <v>157</v>
      </c>
      <c r="F865" s="4">
        <v>99963.407448401937</v>
      </c>
    </row>
    <row r="866" spans="2:6" x14ac:dyDescent="0.25">
      <c r="B866" s="5">
        <v>42231</v>
      </c>
      <c r="C866" s="6" t="s">
        <v>5</v>
      </c>
      <c r="D866" s="6" t="s">
        <v>15</v>
      </c>
      <c r="E866" s="6" t="s">
        <v>39</v>
      </c>
      <c r="F866" s="4">
        <v>25756.473882078295</v>
      </c>
    </row>
    <row r="867" spans="2:6" x14ac:dyDescent="0.25">
      <c r="B867" s="5">
        <v>42231</v>
      </c>
      <c r="C867" s="6" t="s">
        <v>14</v>
      </c>
      <c r="D867" s="6" t="s">
        <v>40</v>
      </c>
      <c r="E867" s="6" t="s">
        <v>86</v>
      </c>
      <c r="F867" s="4">
        <v>50150.808452200872</v>
      </c>
    </row>
    <row r="868" spans="2:6" x14ac:dyDescent="0.25">
      <c r="B868" s="5">
        <v>42233</v>
      </c>
      <c r="C868" s="6" t="s">
        <v>8</v>
      </c>
      <c r="D868" s="6" t="s">
        <v>6</v>
      </c>
      <c r="E868" s="6" t="s">
        <v>182</v>
      </c>
      <c r="F868" s="4">
        <v>82243.874688792042</v>
      </c>
    </row>
    <row r="869" spans="2:6" x14ac:dyDescent="0.25">
      <c r="B869" s="5">
        <v>42234</v>
      </c>
      <c r="C869" s="6" t="s">
        <v>8</v>
      </c>
      <c r="D869" s="6" t="s">
        <v>26</v>
      </c>
      <c r="E869" s="6" t="s">
        <v>31</v>
      </c>
      <c r="F869" s="4">
        <v>61874.728385350994</v>
      </c>
    </row>
    <row r="870" spans="2:6" x14ac:dyDescent="0.25">
      <c r="B870" s="5">
        <v>42237</v>
      </c>
      <c r="C870" s="6" t="s">
        <v>5</v>
      </c>
      <c r="D870" s="6" t="s">
        <v>33</v>
      </c>
      <c r="E870" s="6" t="s">
        <v>104</v>
      </c>
      <c r="F870" s="4">
        <v>21843.718973097093</v>
      </c>
    </row>
    <row r="871" spans="2:6" x14ac:dyDescent="0.25">
      <c r="B871" s="5">
        <v>42237</v>
      </c>
      <c r="C871" s="6" t="s">
        <v>8</v>
      </c>
      <c r="D871" s="6" t="s">
        <v>40</v>
      </c>
      <c r="E871" s="6" t="s">
        <v>29</v>
      </c>
      <c r="F871" s="4">
        <v>80531.582678632898</v>
      </c>
    </row>
    <row r="872" spans="2:6" x14ac:dyDescent="0.25">
      <c r="B872" s="5">
        <v>42238</v>
      </c>
      <c r="C872" s="6" t="s">
        <v>5</v>
      </c>
      <c r="D872" s="6" t="s">
        <v>28</v>
      </c>
      <c r="E872" s="6" t="s">
        <v>38</v>
      </c>
      <c r="F872" s="4">
        <v>67985.481177776193</v>
      </c>
    </row>
    <row r="873" spans="2:6" x14ac:dyDescent="0.25">
      <c r="B873" s="5">
        <v>42238</v>
      </c>
      <c r="C873" s="6" t="s">
        <v>8</v>
      </c>
      <c r="D873" s="6" t="s">
        <v>46</v>
      </c>
      <c r="E873" s="6" t="s">
        <v>140</v>
      </c>
      <c r="F873" s="4">
        <v>62769.361299699609</v>
      </c>
    </row>
    <row r="874" spans="2:6" x14ac:dyDescent="0.25">
      <c r="B874" s="5">
        <v>42241</v>
      </c>
      <c r="C874" s="6" t="s">
        <v>8</v>
      </c>
      <c r="D874" s="6" t="s">
        <v>18</v>
      </c>
      <c r="E874" s="6" t="s">
        <v>49</v>
      </c>
      <c r="F874" s="4">
        <v>85080.594578251825</v>
      </c>
    </row>
    <row r="875" spans="2:6" x14ac:dyDescent="0.25">
      <c r="B875" s="5">
        <v>42242</v>
      </c>
      <c r="C875" s="6" t="s">
        <v>5</v>
      </c>
      <c r="D875" s="6" t="s">
        <v>12</v>
      </c>
      <c r="E875" s="6" t="s">
        <v>145</v>
      </c>
      <c r="F875" s="4">
        <v>90955.31206151651</v>
      </c>
    </row>
    <row r="876" spans="2:6" x14ac:dyDescent="0.25">
      <c r="B876" s="5">
        <v>42245</v>
      </c>
      <c r="C876" s="6" t="s">
        <v>8</v>
      </c>
      <c r="D876" s="6" t="s">
        <v>26</v>
      </c>
      <c r="E876" s="6" t="s">
        <v>188</v>
      </c>
      <c r="F876" s="4">
        <v>53635.129298812004</v>
      </c>
    </row>
    <row r="877" spans="2:6" x14ac:dyDescent="0.25">
      <c r="B877" s="5">
        <v>42248</v>
      </c>
      <c r="C877" s="6" t="s">
        <v>11</v>
      </c>
      <c r="D877" s="6" t="s">
        <v>40</v>
      </c>
      <c r="E877" s="6" t="s">
        <v>191</v>
      </c>
      <c r="F877" s="4">
        <v>85081.47492485019</v>
      </c>
    </row>
    <row r="878" spans="2:6" x14ac:dyDescent="0.25">
      <c r="B878" s="5">
        <v>42249</v>
      </c>
      <c r="C878" s="6" t="s">
        <v>5</v>
      </c>
      <c r="D878" s="6" t="s">
        <v>15</v>
      </c>
      <c r="E878" s="6" t="s">
        <v>62</v>
      </c>
      <c r="F878" s="4">
        <v>35008.376086961689</v>
      </c>
    </row>
    <row r="879" spans="2:6" x14ac:dyDescent="0.25">
      <c r="B879" s="5">
        <v>42249</v>
      </c>
      <c r="C879" s="6" t="s">
        <v>5</v>
      </c>
      <c r="D879" s="6" t="s">
        <v>35</v>
      </c>
      <c r="E879" s="6" t="s">
        <v>125</v>
      </c>
      <c r="F879" s="4">
        <v>83660.787883981538</v>
      </c>
    </row>
    <row r="880" spans="2:6" x14ac:dyDescent="0.25">
      <c r="B880" s="5">
        <v>42254</v>
      </c>
      <c r="C880" s="6" t="s">
        <v>8</v>
      </c>
      <c r="D880" s="6" t="s">
        <v>40</v>
      </c>
      <c r="E880" s="6" t="s">
        <v>51</v>
      </c>
      <c r="F880" s="4">
        <v>68380.719656552101</v>
      </c>
    </row>
    <row r="881" spans="2:6" x14ac:dyDescent="0.25">
      <c r="B881" s="5">
        <v>42255</v>
      </c>
      <c r="C881" s="6" t="s">
        <v>14</v>
      </c>
      <c r="D881" s="6" t="s">
        <v>15</v>
      </c>
      <c r="E881" s="6" t="s">
        <v>56</v>
      </c>
      <c r="F881" s="4">
        <v>65101.312938190335</v>
      </c>
    </row>
    <row r="882" spans="2:6" x14ac:dyDescent="0.25">
      <c r="B882" s="5">
        <v>42256</v>
      </c>
      <c r="C882" s="6" t="s">
        <v>14</v>
      </c>
      <c r="D882" s="6" t="s">
        <v>35</v>
      </c>
      <c r="E882" s="6" t="s">
        <v>55</v>
      </c>
      <c r="F882" s="4">
        <v>62052.544135631055</v>
      </c>
    </row>
    <row r="883" spans="2:6" x14ac:dyDescent="0.25">
      <c r="B883" s="5">
        <v>42257</v>
      </c>
      <c r="C883" s="6" t="s">
        <v>14</v>
      </c>
      <c r="D883" s="6" t="s">
        <v>12</v>
      </c>
      <c r="E883" s="6" t="s">
        <v>131</v>
      </c>
      <c r="F883" s="4">
        <v>69767.120089502467</v>
      </c>
    </row>
    <row r="884" spans="2:6" x14ac:dyDescent="0.25">
      <c r="B884" s="5">
        <v>42258</v>
      </c>
      <c r="C884" s="6" t="s">
        <v>5</v>
      </c>
      <c r="D884" s="6" t="s">
        <v>9</v>
      </c>
      <c r="E884" s="6" t="s">
        <v>131</v>
      </c>
      <c r="F884" s="4">
        <v>92291.729107617706</v>
      </c>
    </row>
    <row r="885" spans="2:6" x14ac:dyDescent="0.25">
      <c r="B885" s="5">
        <v>42259</v>
      </c>
      <c r="C885" s="6" t="s">
        <v>14</v>
      </c>
      <c r="D885" s="6" t="s">
        <v>40</v>
      </c>
      <c r="E885" s="6" t="s">
        <v>190</v>
      </c>
      <c r="F885" s="4">
        <v>73130.859366698947</v>
      </c>
    </row>
    <row r="886" spans="2:6" x14ac:dyDescent="0.25">
      <c r="B886" s="5">
        <v>42264</v>
      </c>
      <c r="C886" s="6" t="s">
        <v>11</v>
      </c>
      <c r="D886" s="6" t="s">
        <v>20</v>
      </c>
      <c r="E886" s="6" t="s">
        <v>185</v>
      </c>
      <c r="F886" s="4">
        <v>75568.893990825396</v>
      </c>
    </row>
    <row r="887" spans="2:6" x14ac:dyDescent="0.25">
      <c r="B887" s="5">
        <v>42270</v>
      </c>
      <c r="C887" s="6" t="s">
        <v>5</v>
      </c>
      <c r="D887" s="6" t="s">
        <v>23</v>
      </c>
      <c r="E887" s="6" t="s">
        <v>57</v>
      </c>
      <c r="F887" s="4">
        <v>34498.621500905254</v>
      </c>
    </row>
    <row r="888" spans="2:6" x14ac:dyDescent="0.25">
      <c r="B888" s="5">
        <v>42275</v>
      </c>
      <c r="C888" s="6" t="s">
        <v>14</v>
      </c>
      <c r="D888" s="6" t="s">
        <v>6</v>
      </c>
      <c r="E888" s="6" t="s">
        <v>64</v>
      </c>
      <c r="F888" s="4">
        <v>29286.936299050678</v>
      </c>
    </row>
    <row r="889" spans="2:6" x14ac:dyDescent="0.25">
      <c r="B889" s="5">
        <v>42276</v>
      </c>
      <c r="C889" s="6" t="s">
        <v>14</v>
      </c>
      <c r="D889" s="6" t="s">
        <v>23</v>
      </c>
      <c r="E889" s="6" t="s">
        <v>104</v>
      </c>
      <c r="F889" s="4">
        <v>45908.900574419808</v>
      </c>
    </row>
    <row r="890" spans="2:6" x14ac:dyDescent="0.25">
      <c r="B890" s="5">
        <v>42278</v>
      </c>
      <c r="C890" s="6" t="s">
        <v>8</v>
      </c>
      <c r="D890" s="6" t="s">
        <v>43</v>
      </c>
      <c r="E890" s="6" t="s">
        <v>150</v>
      </c>
      <c r="F890" s="4">
        <v>52399.990269512651</v>
      </c>
    </row>
    <row r="891" spans="2:6" x14ac:dyDescent="0.25">
      <c r="B891" s="5">
        <v>42280</v>
      </c>
      <c r="C891" s="6" t="s">
        <v>8</v>
      </c>
      <c r="D891" s="6" t="s">
        <v>40</v>
      </c>
      <c r="E891" s="6" t="s">
        <v>142</v>
      </c>
      <c r="F891" s="4">
        <v>73815.187918950411</v>
      </c>
    </row>
    <row r="892" spans="2:6" x14ac:dyDescent="0.25">
      <c r="B892" s="5">
        <v>42283</v>
      </c>
      <c r="C892" s="6" t="s">
        <v>8</v>
      </c>
      <c r="D892" s="6" t="s">
        <v>9</v>
      </c>
      <c r="E892" s="6" t="s">
        <v>117</v>
      </c>
      <c r="F892" s="4">
        <v>70763.257833098338</v>
      </c>
    </row>
    <row r="893" spans="2:6" x14ac:dyDescent="0.25">
      <c r="B893" s="5">
        <v>42284</v>
      </c>
      <c r="C893" s="6" t="s">
        <v>5</v>
      </c>
      <c r="D893" s="6" t="s">
        <v>26</v>
      </c>
      <c r="E893" s="6" t="s">
        <v>190</v>
      </c>
      <c r="F893" s="4">
        <v>78221.779426199631</v>
      </c>
    </row>
    <row r="894" spans="2:6" x14ac:dyDescent="0.25">
      <c r="B894" s="5">
        <v>42289</v>
      </c>
      <c r="C894" s="6" t="s">
        <v>5</v>
      </c>
      <c r="D894" s="6" t="s">
        <v>26</v>
      </c>
      <c r="E894" s="6" t="s">
        <v>130</v>
      </c>
      <c r="F894" s="4">
        <v>41076.186107407535</v>
      </c>
    </row>
    <row r="895" spans="2:6" x14ac:dyDescent="0.25">
      <c r="B895" s="5">
        <v>42290</v>
      </c>
      <c r="C895" s="6" t="s">
        <v>8</v>
      </c>
      <c r="D895" s="6" t="s">
        <v>35</v>
      </c>
      <c r="E895" s="6" t="s">
        <v>96</v>
      </c>
      <c r="F895" s="4">
        <v>87390.733967938097</v>
      </c>
    </row>
    <row r="896" spans="2:6" x14ac:dyDescent="0.25">
      <c r="B896" s="5">
        <v>42290</v>
      </c>
      <c r="C896" s="6" t="s">
        <v>5</v>
      </c>
      <c r="D896" s="6" t="s">
        <v>12</v>
      </c>
      <c r="E896" s="6" t="s">
        <v>131</v>
      </c>
      <c r="F896" s="4">
        <v>37421.05053001707</v>
      </c>
    </row>
    <row r="897" spans="2:6" x14ac:dyDescent="0.25">
      <c r="B897" s="5">
        <v>42293</v>
      </c>
      <c r="C897" s="6" t="s">
        <v>11</v>
      </c>
      <c r="D897" s="6" t="s">
        <v>18</v>
      </c>
      <c r="E897" s="6" t="s">
        <v>45</v>
      </c>
      <c r="F897" s="4">
        <v>57041.835390202599</v>
      </c>
    </row>
    <row r="898" spans="2:6" x14ac:dyDescent="0.25">
      <c r="B898" s="5">
        <v>42294</v>
      </c>
      <c r="C898" s="6" t="s">
        <v>5</v>
      </c>
      <c r="D898" s="6" t="s">
        <v>40</v>
      </c>
      <c r="E898" s="6" t="s">
        <v>193</v>
      </c>
      <c r="F898" s="4">
        <v>73071.703263819873</v>
      </c>
    </row>
    <row r="899" spans="2:6" x14ac:dyDescent="0.25">
      <c r="B899" s="5">
        <v>42297</v>
      </c>
      <c r="C899" s="6" t="s">
        <v>14</v>
      </c>
      <c r="D899" s="6" t="s">
        <v>15</v>
      </c>
      <c r="E899" s="6" t="s">
        <v>68</v>
      </c>
      <c r="F899" s="4">
        <v>90461.685151424186</v>
      </c>
    </row>
    <row r="900" spans="2:6" x14ac:dyDescent="0.25">
      <c r="B900" s="5">
        <v>42299</v>
      </c>
      <c r="C900" s="6" t="s">
        <v>5</v>
      </c>
      <c r="D900" s="6" t="s">
        <v>40</v>
      </c>
      <c r="E900" s="6" t="s">
        <v>168</v>
      </c>
      <c r="F900" s="4">
        <v>38626.177831315537</v>
      </c>
    </row>
    <row r="901" spans="2:6" x14ac:dyDescent="0.25">
      <c r="B901" s="5">
        <v>42302</v>
      </c>
      <c r="C901" s="6" t="s">
        <v>5</v>
      </c>
      <c r="D901" s="6" t="s">
        <v>35</v>
      </c>
      <c r="E901" s="6" t="s">
        <v>51</v>
      </c>
      <c r="F901" s="4">
        <v>98068.045977528527</v>
      </c>
    </row>
    <row r="902" spans="2:6" x14ac:dyDescent="0.25">
      <c r="B902" s="5">
        <v>42306</v>
      </c>
      <c r="C902" s="6" t="s">
        <v>8</v>
      </c>
      <c r="D902" s="6" t="s">
        <v>35</v>
      </c>
      <c r="E902" s="6" t="s">
        <v>130</v>
      </c>
      <c r="F902" s="4">
        <v>97466.309919860694</v>
      </c>
    </row>
    <row r="903" spans="2:6" x14ac:dyDescent="0.25">
      <c r="B903" s="5">
        <v>42307</v>
      </c>
      <c r="C903" s="6" t="s">
        <v>11</v>
      </c>
      <c r="D903" s="6" t="s">
        <v>12</v>
      </c>
      <c r="E903" s="6" t="s">
        <v>123</v>
      </c>
      <c r="F903" s="4">
        <v>13771.183009864717</v>
      </c>
    </row>
    <row r="904" spans="2:6" x14ac:dyDescent="0.25">
      <c r="B904" s="5">
        <v>42309</v>
      </c>
      <c r="C904" s="6" t="s">
        <v>14</v>
      </c>
      <c r="D904" s="6" t="s">
        <v>43</v>
      </c>
      <c r="E904" s="6" t="s">
        <v>95</v>
      </c>
      <c r="F904" s="4">
        <v>84330.355277700291</v>
      </c>
    </row>
    <row r="905" spans="2:6" x14ac:dyDescent="0.25">
      <c r="B905" s="5">
        <v>42312</v>
      </c>
      <c r="C905" s="6" t="s">
        <v>5</v>
      </c>
      <c r="D905" s="6" t="s">
        <v>20</v>
      </c>
      <c r="E905" s="6" t="s">
        <v>167</v>
      </c>
      <c r="F905" s="4">
        <v>90998.062158188084</v>
      </c>
    </row>
    <row r="906" spans="2:6" x14ac:dyDescent="0.25">
      <c r="B906" s="5">
        <v>42313</v>
      </c>
      <c r="C906" s="6" t="s">
        <v>5</v>
      </c>
      <c r="D906" s="6" t="s">
        <v>6</v>
      </c>
      <c r="E906" s="6" t="s">
        <v>134</v>
      </c>
      <c r="F906" s="4">
        <v>35685.351814876747</v>
      </c>
    </row>
    <row r="907" spans="2:6" x14ac:dyDescent="0.25">
      <c r="B907" s="5">
        <v>42316</v>
      </c>
      <c r="C907" s="6" t="s">
        <v>8</v>
      </c>
      <c r="D907" s="6" t="s">
        <v>40</v>
      </c>
      <c r="E907" s="6" t="s">
        <v>139</v>
      </c>
      <c r="F907" s="4">
        <v>66775.037512854717</v>
      </c>
    </row>
    <row r="908" spans="2:6" x14ac:dyDescent="0.25">
      <c r="B908" s="5">
        <v>42318</v>
      </c>
      <c r="C908" s="6" t="s">
        <v>5</v>
      </c>
      <c r="D908" s="6" t="s">
        <v>12</v>
      </c>
      <c r="E908" s="6" t="s">
        <v>69</v>
      </c>
      <c r="F908" s="4">
        <v>59568.77343376424</v>
      </c>
    </row>
    <row r="909" spans="2:6" x14ac:dyDescent="0.25">
      <c r="B909" s="5">
        <v>42322</v>
      </c>
      <c r="C909" s="6" t="s">
        <v>8</v>
      </c>
      <c r="D909" s="6" t="s">
        <v>20</v>
      </c>
      <c r="E909" s="6" t="s">
        <v>143</v>
      </c>
      <c r="F909" s="4">
        <v>90213.25282968441</v>
      </c>
    </row>
    <row r="910" spans="2:6" x14ac:dyDescent="0.25">
      <c r="B910" s="5">
        <v>42323</v>
      </c>
      <c r="C910" s="6" t="s">
        <v>14</v>
      </c>
      <c r="D910" s="6" t="s">
        <v>6</v>
      </c>
      <c r="E910" s="6" t="s">
        <v>13</v>
      </c>
      <c r="F910" s="4">
        <v>87969.26654143451</v>
      </c>
    </row>
    <row r="911" spans="2:6" x14ac:dyDescent="0.25">
      <c r="B911" s="5">
        <v>42327</v>
      </c>
      <c r="C911" s="6" t="s">
        <v>5</v>
      </c>
      <c r="D911" s="6" t="s">
        <v>20</v>
      </c>
      <c r="E911" s="6" t="s">
        <v>74</v>
      </c>
      <c r="F911" s="4">
        <v>53824.344797131977</v>
      </c>
    </row>
    <row r="912" spans="2:6" x14ac:dyDescent="0.25">
      <c r="B912" s="5">
        <v>42328</v>
      </c>
      <c r="C912" s="6" t="s">
        <v>14</v>
      </c>
      <c r="D912" s="6" t="s">
        <v>46</v>
      </c>
      <c r="E912" s="6" t="s">
        <v>104</v>
      </c>
      <c r="F912" s="4">
        <v>52644.526301793056</v>
      </c>
    </row>
    <row r="913" spans="2:6" x14ac:dyDescent="0.25">
      <c r="B913" s="5">
        <v>42328</v>
      </c>
      <c r="C913" s="6" t="s">
        <v>8</v>
      </c>
      <c r="D913" s="6" t="s">
        <v>54</v>
      </c>
      <c r="E913" s="6" t="s">
        <v>56</v>
      </c>
      <c r="F913" s="4">
        <v>90252.972049500619</v>
      </c>
    </row>
    <row r="914" spans="2:6" x14ac:dyDescent="0.25">
      <c r="B914" s="5">
        <v>42331</v>
      </c>
      <c r="C914" s="6" t="s">
        <v>14</v>
      </c>
      <c r="D914" s="6" t="s">
        <v>9</v>
      </c>
      <c r="E914" s="6" t="s">
        <v>47</v>
      </c>
      <c r="F914" s="4">
        <v>10166.940321027123</v>
      </c>
    </row>
    <row r="915" spans="2:6" x14ac:dyDescent="0.25">
      <c r="B915" s="5">
        <v>42333</v>
      </c>
      <c r="C915" s="6" t="s">
        <v>8</v>
      </c>
      <c r="D915" s="6" t="s">
        <v>12</v>
      </c>
      <c r="E915" s="6" t="s">
        <v>103</v>
      </c>
      <c r="F915" s="4">
        <v>91919.124979627319</v>
      </c>
    </row>
    <row r="916" spans="2:6" x14ac:dyDescent="0.25">
      <c r="B916" s="5">
        <v>42335</v>
      </c>
      <c r="C916" s="6" t="s">
        <v>5</v>
      </c>
      <c r="D916" s="6" t="s">
        <v>15</v>
      </c>
      <c r="E916" s="6" t="s">
        <v>135</v>
      </c>
      <c r="F916" s="4">
        <v>87947.381541469935</v>
      </c>
    </row>
    <row r="917" spans="2:6" x14ac:dyDescent="0.25">
      <c r="B917" s="5">
        <v>42336</v>
      </c>
      <c r="C917" s="6" t="s">
        <v>14</v>
      </c>
      <c r="D917" s="6" t="s">
        <v>40</v>
      </c>
      <c r="E917" s="6" t="s">
        <v>139</v>
      </c>
      <c r="F917" s="4">
        <v>22831.023828650439</v>
      </c>
    </row>
    <row r="918" spans="2:6" x14ac:dyDescent="0.25">
      <c r="B918" s="5">
        <v>42336</v>
      </c>
      <c r="C918" s="6" t="s">
        <v>8</v>
      </c>
      <c r="D918" s="6" t="s">
        <v>43</v>
      </c>
      <c r="E918" s="6" t="s">
        <v>151</v>
      </c>
      <c r="F918" s="4">
        <v>59693.960051067319</v>
      </c>
    </row>
    <row r="919" spans="2:6" x14ac:dyDescent="0.25">
      <c r="B919" s="5">
        <v>42339</v>
      </c>
      <c r="C919" s="6" t="s">
        <v>8</v>
      </c>
      <c r="D919" s="6" t="s">
        <v>40</v>
      </c>
      <c r="E919" s="6" t="s">
        <v>151</v>
      </c>
      <c r="F919" s="4">
        <v>72717.517128309628</v>
      </c>
    </row>
    <row r="920" spans="2:6" x14ac:dyDescent="0.25">
      <c r="B920" s="5">
        <v>42344</v>
      </c>
      <c r="C920" s="6" t="s">
        <v>5</v>
      </c>
      <c r="D920" s="6" t="s">
        <v>12</v>
      </c>
      <c r="E920" s="6" t="s">
        <v>77</v>
      </c>
      <c r="F920" s="4">
        <v>92387.29580883465</v>
      </c>
    </row>
    <row r="921" spans="2:6" x14ac:dyDescent="0.25">
      <c r="B921" s="5">
        <v>42354</v>
      </c>
      <c r="C921" s="6" t="s">
        <v>11</v>
      </c>
      <c r="D921" s="6" t="s">
        <v>15</v>
      </c>
      <c r="E921" s="6" t="s">
        <v>121</v>
      </c>
      <c r="F921" s="4">
        <v>41872.983391560287</v>
      </c>
    </row>
    <row r="922" spans="2:6" x14ac:dyDescent="0.25">
      <c r="B922" s="5">
        <v>42356</v>
      </c>
      <c r="C922" s="6" t="s">
        <v>5</v>
      </c>
      <c r="D922" s="6" t="s">
        <v>46</v>
      </c>
      <c r="E922" s="6" t="s">
        <v>172</v>
      </c>
      <c r="F922" s="4">
        <v>85762.647407223543</v>
      </c>
    </row>
    <row r="923" spans="2:6" x14ac:dyDescent="0.25">
      <c r="B923" s="5">
        <v>42361</v>
      </c>
      <c r="C923" s="6" t="s">
        <v>5</v>
      </c>
      <c r="D923" s="6" t="s">
        <v>23</v>
      </c>
      <c r="E923" s="6" t="s">
        <v>152</v>
      </c>
      <c r="F923" s="4">
        <v>40868.289590498011</v>
      </c>
    </row>
    <row r="924" spans="2:6" x14ac:dyDescent="0.25">
      <c r="B924" s="5">
        <v>42369</v>
      </c>
      <c r="C924" s="6" t="s">
        <v>8</v>
      </c>
      <c r="D924" s="6" t="s">
        <v>54</v>
      </c>
      <c r="E924" s="6" t="s">
        <v>69</v>
      </c>
      <c r="F924" s="4">
        <v>39484.393530696922</v>
      </c>
    </row>
    <row r="925" spans="2:6" x14ac:dyDescent="0.25">
      <c r="B925" s="5">
        <v>42370</v>
      </c>
      <c r="C925" s="6" t="s">
        <v>11</v>
      </c>
      <c r="D925" s="6" t="s">
        <v>20</v>
      </c>
      <c r="E925" s="6" t="s">
        <v>76</v>
      </c>
      <c r="F925" s="4">
        <v>98194.99155246091</v>
      </c>
    </row>
    <row r="926" spans="2:6" x14ac:dyDescent="0.25">
      <c r="B926" s="5">
        <v>42371</v>
      </c>
      <c r="C926" s="6" t="s">
        <v>14</v>
      </c>
      <c r="D926" s="6" t="s">
        <v>9</v>
      </c>
      <c r="E926" s="6" t="s">
        <v>142</v>
      </c>
      <c r="F926" s="4">
        <v>96780.785796392302</v>
      </c>
    </row>
    <row r="927" spans="2:6" x14ac:dyDescent="0.25">
      <c r="B927" s="5">
        <v>42372</v>
      </c>
      <c r="C927" s="6" t="s">
        <v>5</v>
      </c>
      <c r="D927" s="6" t="s">
        <v>28</v>
      </c>
      <c r="E927" s="6" t="s">
        <v>172</v>
      </c>
      <c r="F927" s="4">
        <v>81392.335255948448</v>
      </c>
    </row>
    <row r="928" spans="2:6" x14ac:dyDescent="0.25">
      <c r="B928" s="5">
        <v>42379</v>
      </c>
      <c r="C928" s="6" t="s">
        <v>5</v>
      </c>
      <c r="D928" s="6" t="s">
        <v>23</v>
      </c>
      <c r="E928" s="6" t="s">
        <v>170</v>
      </c>
      <c r="F928" s="4">
        <v>69965.364716496464</v>
      </c>
    </row>
    <row r="929" spans="2:6" x14ac:dyDescent="0.25">
      <c r="B929" s="5">
        <v>42380</v>
      </c>
      <c r="C929" s="6" t="s">
        <v>11</v>
      </c>
      <c r="D929" s="6" t="s">
        <v>26</v>
      </c>
      <c r="E929" s="6" t="s">
        <v>47</v>
      </c>
      <c r="F929" s="4">
        <v>17661.090938305992</v>
      </c>
    </row>
    <row r="930" spans="2:6" x14ac:dyDescent="0.25">
      <c r="B930" s="5">
        <v>42381</v>
      </c>
      <c r="C930" s="6" t="s">
        <v>5</v>
      </c>
      <c r="D930" s="6" t="s">
        <v>40</v>
      </c>
      <c r="E930" s="6" t="s">
        <v>102</v>
      </c>
      <c r="F930" s="4">
        <v>83282.294137670833</v>
      </c>
    </row>
    <row r="931" spans="2:6" x14ac:dyDescent="0.25">
      <c r="B931" s="5">
        <v>42381</v>
      </c>
      <c r="C931" s="6" t="s">
        <v>5</v>
      </c>
      <c r="D931" s="6" t="s">
        <v>35</v>
      </c>
      <c r="E931" s="6" t="s">
        <v>189</v>
      </c>
      <c r="F931" s="4">
        <v>62689.614499077608</v>
      </c>
    </row>
    <row r="932" spans="2:6" x14ac:dyDescent="0.25">
      <c r="B932" s="5">
        <v>42382</v>
      </c>
      <c r="C932" s="6" t="s">
        <v>5</v>
      </c>
      <c r="D932" s="6" t="s">
        <v>28</v>
      </c>
      <c r="E932" s="6" t="s">
        <v>157</v>
      </c>
      <c r="F932" s="4">
        <v>66340.569240708603</v>
      </c>
    </row>
    <row r="933" spans="2:6" x14ac:dyDescent="0.25">
      <c r="B933" s="5">
        <v>42383</v>
      </c>
      <c r="C933" s="6" t="s">
        <v>14</v>
      </c>
      <c r="D933" s="6" t="s">
        <v>23</v>
      </c>
      <c r="E933" s="6" t="s">
        <v>118</v>
      </c>
      <c r="F933" s="4">
        <v>37404.358830711441</v>
      </c>
    </row>
    <row r="934" spans="2:6" x14ac:dyDescent="0.25">
      <c r="B934" s="5">
        <v>42384</v>
      </c>
      <c r="C934" s="6" t="s">
        <v>8</v>
      </c>
      <c r="D934" s="6" t="s">
        <v>40</v>
      </c>
      <c r="E934" s="6" t="s">
        <v>87</v>
      </c>
      <c r="F934" s="4">
        <v>85065.854026653498</v>
      </c>
    </row>
    <row r="935" spans="2:6" x14ac:dyDescent="0.25">
      <c r="B935" s="5">
        <v>42387</v>
      </c>
      <c r="C935" s="6" t="s">
        <v>5</v>
      </c>
      <c r="D935" s="6" t="s">
        <v>23</v>
      </c>
      <c r="E935" s="6" t="s">
        <v>31</v>
      </c>
      <c r="F935" s="4">
        <v>16131.678933273459</v>
      </c>
    </row>
    <row r="936" spans="2:6" x14ac:dyDescent="0.25">
      <c r="B936" s="5">
        <v>42388</v>
      </c>
      <c r="C936" s="6" t="s">
        <v>5</v>
      </c>
      <c r="D936" s="6" t="s">
        <v>12</v>
      </c>
      <c r="E936" s="6" t="s">
        <v>172</v>
      </c>
      <c r="F936" s="4">
        <v>38827.539414472012</v>
      </c>
    </row>
    <row r="937" spans="2:6" x14ac:dyDescent="0.25">
      <c r="B937" s="5">
        <v>42388</v>
      </c>
      <c r="C937" s="6" t="s">
        <v>11</v>
      </c>
      <c r="D937" s="6" t="s">
        <v>6</v>
      </c>
      <c r="E937" s="6" t="s">
        <v>148</v>
      </c>
      <c r="F937" s="4">
        <v>93164.370154024291</v>
      </c>
    </row>
    <row r="938" spans="2:6" x14ac:dyDescent="0.25">
      <c r="B938" s="5">
        <v>42392</v>
      </c>
      <c r="C938" s="6" t="s">
        <v>8</v>
      </c>
      <c r="D938" s="6" t="s">
        <v>12</v>
      </c>
      <c r="E938" s="6" t="s">
        <v>62</v>
      </c>
      <c r="F938" s="4">
        <v>94395.827792254378</v>
      </c>
    </row>
    <row r="939" spans="2:6" x14ac:dyDescent="0.25">
      <c r="B939" s="5">
        <v>42394</v>
      </c>
      <c r="C939" s="6" t="s">
        <v>5</v>
      </c>
      <c r="D939" s="6" t="s">
        <v>6</v>
      </c>
      <c r="E939" s="6" t="s">
        <v>105</v>
      </c>
      <c r="F939" s="4">
        <v>76704.53010915604</v>
      </c>
    </row>
    <row r="940" spans="2:6" x14ac:dyDescent="0.25">
      <c r="B940" s="5">
        <v>42394</v>
      </c>
      <c r="C940" s="6" t="s">
        <v>14</v>
      </c>
      <c r="D940" s="6" t="s">
        <v>20</v>
      </c>
      <c r="E940" s="6" t="s">
        <v>162</v>
      </c>
      <c r="F940" s="4">
        <v>68756.570565150512</v>
      </c>
    </row>
    <row r="941" spans="2:6" x14ac:dyDescent="0.25">
      <c r="B941" s="5">
        <v>42396</v>
      </c>
      <c r="C941" s="6" t="s">
        <v>5</v>
      </c>
      <c r="D941" s="6" t="s">
        <v>20</v>
      </c>
      <c r="E941" s="6" t="s">
        <v>166</v>
      </c>
      <c r="F941" s="4">
        <v>91738.241284008283</v>
      </c>
    </row>
    <row r="942" spans="2:6" x14ac:dyDescent="0.25">
      <c r="B942" s="5">
        <v>42397</v>
      </c>
      <c r="C942" s="6" t="s">
        <v>5</v>
      </c>
      <c r="D942" s="6" t="s">
        <v>40</v>
      </c>
      <c r="E942" s="6" t="s">
        <v>47</v>
      </c>
      <c r="F942" s="4">
        <v>41121.864726663538</v>
      </c>
    </row>
    <row r="943" spans="2:6" x14ac:dyDescent="0.25">
      <c r="B943" s="5">
        <v>42398</v>
      </c>
      <c r="C943" s="6" t="s">
        <v>5</v>
      </c>
      <c r="D943" s="6" t="s">
        <v>33</v>
      </c>
      <c r="E943" s="6" t="s">
        <v>170</v>
      </c>
      <c r="F943" s="4">
        <v>13744.172802483967</v>
      </c>
    </row>
    <row r="944" spans="2:6" x14ac:dyDescent="0.25">
      <c r="B944" s="5">
        <v>42399</v>
      </c>
      <c r="C944" s="6" t="s">
        <v>8</v>
      </c>
      <c r="D944" s="6" t="s">
        <v>28</v>
      </c>
      <c r="E944" s="6" t="s">
        <v>100</v>
      </c>
      <c r="F944" s="4">
        <v>40485.011625758663</v>
      </c>
    </row>
    <row r="945" spans="2:6" x14ac:dyDescent="0.25">
      <c r="B945" s="5">
        <v>42400</v>
      </c>
      <c r="C945" s="6" t="s">
        <v>8</v>
      </c>
      <c r="D945" s="6" t="s">
        <v>6</v>
      </c>
      <c r="E945" s="6" t="s">
        <v>100</v>
      </c>
      <c r="F945" s="4">
        <v>23738.853003740955</v>
      </c>
    </row>
    <row r="946" spans="2:6" x14ac:dyDescent="0.25">
      <c r="B946" s="5">
        <v>42401</v>
      </c>
      <c r="C946" s="6" t="s">
        <v>8</v>
      </c>
      <c r="D946" s="6" t="s">
        <v>54</v>
      </c>
      <c r="E946" s="6" t="s">
        <v>135</v>
      </c>
      <c r="F946" s="4">
        <v>14336.849824744902</v>
      </c>
    </row>
    <row r="947" spans="2:6" x14ac:dyDescent="0.25">
      <c r="B947" s="5">
        <v>42401</v>
      </c>
      <c r="C947" s="6" t="s">
        <v>11</v>
      </c>
      <c r="D947" s="6" t="s">
        <v>23</v>
      </c>
      <c r="E947" s="6" t="s">
        <v>67</v>
      </c>
      <c r="F947" s="4">
        <v>47718.088312892432</v>
      </c>
    </row>
    <row r="948" spans="2:6" x14ac:dyDescent="0.25">
      <c r="B948" s="5">
        <v>42402</v>
      </c>
      <c r="C948" s="6" t="s">
        <v>5</v>
      </c>
      <c r="D948" s="6" t="s">
        <v>54</v>
      </c>
      <c r="E948" s="6" t="s">
        <v>93</v>
      </c>
      <c r="F948" s="4">
        <v>32078.838213181356</v>
      </c>
    </row>
    <row r="949" spans="2:6" x14ac:dyDescent="0.25">
      <c r="B949" s="5">
        <v>42402</v>
      </c>
      <c r="C949" s="6" t="s">
        <v>8</v>
      </c>
      <c r="D949" s="6" t="s">
        <v>54</v>
      </c>
      <c r="E949" s="6" t="s">
        <v>84</v>
      </c>
      <c r="F949" s="4">
        <v>47097.354332735114</v>
      </c>
    </row>
    <row r="950" spans="2:6" x14ac:dyDescent="0.25">
      <c r="B950" s="5">
        <v>42403</v>
      </c>
      <c r="C950" s="6" t="s">
        <v>8</v>
      </c>
      <c r="D950" s="6" t="s">
        <v>20</v>
      </c>
      <c r="E950" s="6" t="s">
        <v>76</v>
      </c>
      <c r="F950" s="4">
        <v>58500.73280181305</v>
      </c>
    </row>
    <row r="951" spans="2:6" x14ac:dyDescent="0.25">
      <c r="B951" s="5">
        <v>42405</v>
      </c>
      <c r="C951" s="6" t="s">
        <v>11</v>
      </c>
      <c r="D951" s="6" t="s">
        <v>40</v>
      </c>
      <c r="E951" s="6" t="s">
        <v>31</v>
      </c>
      <c r="F951" s="4">
        <v>11328.19129792137</v>
      </c>
    </row>
    <row r="952" spans="2:6" x14ac:dyDescent="0.25">
      <c r="B952" s="5">
        <v>42405</v>
      </c>
      <c r="C952" s="6" t="s">
        <v>5</v>
      </c>
      <c r="D952" s="6" t="s">
        <v>9</v>
      </c>
      <c r="E952" s="6" t="s">
        <v>38</v>
      </c>
      <c r="F952" s="4">
        <v>57004.179585570382</v>
      </c>
    </row>
    <row r="953" spans="2:6" x14ac:dyDescent="0.25">
      <c r="B953" s="5">
        <v>42409</v>
      </c>
      <c r="C953" s="6" t="s">
        <v>5</v>
      </c>
      <c r="D953" s="6" t="s">
        <v>23</v>
      </c>
      <c r="E953" s="6" t="s">
        <v>90</v>
      </c>
      <c r="F953" s="4">
        <v>75802.55676767051</v>
      </c>
    </row>
    <row r="954" spans="2:6" x14ac:dyDescent="0.25">
      <c r="B954" s="5">
        <v>42409</v>
      </c>
      <c r="C954" s="6" t="s">
        <v>5</v>
      </c>
      <c r="D954" s="6" t="s">
        <v>12</v>
      </c>
      <c r="E954" s="6" t="s">
        <v>150</v>
      </c>
      <c r="F954" s="4">
        <v>63512.551189090678</v>
      </c>
    </row>
    <row r="955" spans="2:6" x14ac:dyDescent="0.25">
      <c r="B955" s="5">
        <v>42410</v>
      </c>
      <c r="C955" s="6" t="s">
        <v>8</v>
      </c>
      <c r="D955" s="6" t="s">
        <v>46</v>
      </c>
      <c r="E955" s="6" t="s">
        <v>21</v>
      </c>
      <c r="F955" s="4">
        <v>21059.73114901629</v>
      </c>
    </row>
    <row r="956" spans="2:6" x14ac:dyDescent="0.25">
      <c r="B956" s="5">
        <v>42415</v>
      </c>
      <c r="C956" s="6" t="s">
        <v>5</v>
      </c>
      <c r="D956" s="6" t="s">
        <v>46</v>
      </c>
      <c r="E956" s="6" t="s">
        <v>36</v>
      </c>
      <c r="F956" s="4">
        <v>94016.318060788981</v>
      </c>
    </row>
    <row r="957" spans="2:6" x14ac:dyDescent="0.25">
      <c r="B957" s="5">
        <v>42421</v>
      </c>
      <c r="C957" s="6" t="s">
        <v>8</v>
      </c>
      <c r="D957" s="6" t="s">
        <v>6</v>
      </c>
      <c r="E957" s="6" t="s">
        <v>122</v>
      </c>
      <c r="F957" s="4">
        <v>30071.573212784424</v>
      </c>
    </row>
    <row r="958" spans="2:6" x14ac:dyDescent="0.25">
      <c r="B958" s="5">
        <v>42424</v>
      </c>
      <c r="C958" s="6" t="s">
        <v>5</v>
      </c>
      <c r="D958" s="6" t="s">
        <v>43</v>
      </c>
      <c r="E958" s="6" t="s">
        <v>189</v>
      </c>
      <c r="F958" s="4">
        <v>96895.450513082789</v>
      </c>
    </row>
    <row r="959" spans="2:6" x14ac:dyDescent="0.25">
      <c r="B959" s="5">
        <v>42426</v>
      </c>
      <c r="C959" s="6" t="s">
        <v>8</v>
      </c>
      <c r="D959" s="6" t="s">
        <v>18</v>
      </c>
      <c r="E959" s="6" t="s">
        <v>132</v>
      </c>
      <c r="F959" s="4">
        <v>61059.921862361211</v>
      </c>
    </row>
    <row r="960" spans="2:6" x14ac:dyDescent="0.25">
      <c r="B960" s="5">
        <v>42427</v>
      </c>
      <c r="C960" s="6" t="s">
        <v>14</v>
      </c>
      <c r="D960" s="6" t="s">
        <v>46</v>
      </c>
      <c r="E960" s="6" t="s">
        <v>31</v>
      </c>
      <c r="F960" s="4">
        <v>73599.992056261166</v>
      </c>
    </row>
    <row r="961" spans="2:6" x14ac:dyDescent="0.25">
      <c r="B961" s="5">
        <v>42427</v>
      </c>
      <c r="C961" s="6" t="s">
        <v>5</v>
      </c>
      <c r="D961" s="6" t="s">
        <v>35</v>
      </c>
      <c r="E961" s="6" t="s">
        <v>83</v>
      </c>
      <c r="F961" s="4">
        <v>57258.00213310754</v>
      </c>
    </row>
    <row r="962" spans="2:6" x14ac:dyDescent="0.25">
      <c r="B962" s="5">
        <v>42430</v>
      </c>
      <c r="C962" s="6" t="s">
        <v>11</v>
      </c>
      <c r="D962" s="6" t="s">
        <v>43</v>
      </c>
      <c r="E962" s="6" t="s">
        <v>101</v>
      </c>
      <c r="F962" s="4">
        <v>71123.727566823451</v>
      </c>
    </row>
    <row r="963" spans="2:6" x14ac:dyDescent="0.25">
      <c r="B963" s="5">
        <v>42431</v>
      </c>
      <c r="C963" s="6" t="s">
        <v>5</v>
      </c>
      <c r="D963" s="6" t="s">
        <v>23</v>
      </c>
      <c r="E963" s="6" t="s">
        <v>127</v>
      </c>
      <c r="F963" s="4">
        <v>78857.066057928474</v>
      </c>
    </row>
    <row r="964" spans="2:6" x14ac:dyDescent="0.25">
      <c r="B964" s="5">
        <v>42435</v>
      </c>
      <c r="C964" s="6" t="s">
        <v>8</v>
      </c>
      <c r="D964" s="6" t="s">
        <v>23</v>
      </c>
      <c r="E964" s="6" t="s">
        <v>184</v>
      </c>
      <c r="F964" s="4">
        <v>72908.667377652528</v>
      </c>
    </row>
    <row r="965" spans="2:6" x14ac:dyDescent="0.25">
      <c r="B965" s="5">
        <v>42443</v>
      </c>
      <c r="C965" s="6" t="s">
        <v>8</v>
      </c>
      <c r="D965" s="6" t="s">
        <v>9</v>
      </c>
      <c r="E965" s="6" t="s">
        <v>29</v>
      </c>
      <c r="F965" s="4">
        <v>87269.174816601226</v>
      </c>
    </row>
    <row r="966" spans="2:6" x14ac:dyDescent="0.25">
      <c r="B966" s="5">
        <v>42443</v>
      </c>
      <c r="C966" s="6" t="s">
        <v>5</v>
      </c>
      <c r="D966" s="6" t="s">
        <v>15</v>
      </c>
      <c r="E966" s="6" t="s">
        <v>106</v>
      </c>
      <c r="F966" s="4">
        <v>49014.943072524577</v>
      </c>
    </row>
    <row r="967" spans="2:6" x14ac:dyDescent="0.25">
      <c r="B967" s="5">
        <v>42444</v>
      </c>
      <c r="C967" s="6" t="s">
        <v>14</v>
      </c>
      <c r="D967" s="6" t="s">
        <v>15</v>
      </c>
      <c r="E967" s="6" t="s">
        <v>57</v>
      </c>
      <c r="F967" s="4">
        <v>35225.902912782076</v>
      </c>
    </row>
    <row r="968" spans="2:6" x14ac:dyDescent="0.25">
      <c r="B968" s="5">
        <v>42444</v>
      </c>
      <c r="C968" s="6" t="s">
        <v>5</v>
      </c>
      <c r="D968" s="6" t="s">
        <v>43</v>
      </c>
      <c r="E968" s="6" t="s">
        <v>97</v>
      </c>
      <c r="F968" s="4">
        <v>69249.026371946078</v>
      </c>
    </row>
    <row r="969" spans="2:6" x14ac:dyDescent="0.25">
      <c r="B969" s="5">
        <v>42449</v>
      </c>
      <c r="C969" s="6" t="s">
        <v>14</v>
      </c>
      <c r="D969" s="6" t="s">
        <v>23</v>
      </c>
      <c r="E969" s="6" t="s">
        <v>101</v>
      </c>
      <c r="F969" s="4">
        <v>61196.564114073815</v>
      </c>
    </row>
    <row r="970" spans="2:6" x14ac:dyDescent="0.25">
      <c r="B970" s="5">
        <v>42450</v>
      </c>
      <c r="C970" s="6" t="s">
        <v>5</v>
      </c>
      <c r="D970" s="6" t="s">
        <v>43</v>
      </c>
      <c r="E970" s="6" t="s">
        <v>74</v>
      </c>
      <c r="F970" s="4">
        <v>67045.081119852344</v>
      </c>
    </row>
    <row r="971" spans="2:6" x14ac:dyDescent="0.25">
      <c r="B971" s="5">
        <v>42452</v>
      </c>
      <c r="C971" s="6" t="s">
        <v>14</v>
      </c>
      <c r="D971" s="6" t="s">
        <v>43</v>
      </c>
      <c r="E971" s="6" t="s">
        <v>83</v>
      </c>
      <c r="F971" s="4">
        <v>44353.611389615551</v>
      </c>
    </row>
    <row r="972" spans="2:6" x14ac:dyDescent="0.25">
      <c r="B972" s="5">
        <v>42456</v>
      </c>
      <c r="C972" s="6" t="s">
        <v>5</v>
      </c>
      <c r="D972" s="6" t="s">
        <v>6</v>
      </c>
      <c r="E972" s="6" t="s">
        <v>44</v>
      </c>
      <c r="F972" s="4">
        <v>73523.717724810485</v>
      </c>
    </row>
    <row r="973" spans="2:6" x14ac:dyDescent="0.25">
      <c r="B973" s="5">
        <v>42459</v>
      </c>
      <c r="C973" s="6" t="s">
        <v>5</v>
      </c>
      <c r="D973" s="6" t="s">
        <v>33</v>
      </c>
      <c r="E973" s="6" t="s">
        <v>101</v>
      </c>
      <c r="F973" s="4">
        <v>43876.859270178014</v>
      </c>
    </row>
    <row r="974" spans="2:6" x14ac:dyDescent="0.25">
      <c r="B974" s="5">
        <v>42459</v>
      </c>
      <c r="C974" s="6" t="s">
        <v>5</v>
      </c>
      <c r="D974" s="6" t="s">
        <v>40</v>
      </c>
      <c r="E974" s="6" t="s">
        <v>172</v>
      </c>
      <c r="F974" s="4">
        <v>20517.284759118735</v>
      </c>
    </row>
    <row r="975" spans="2:6" x14ac:dyDescent="0.25">
      <c r="B975" s="5">
        <v>42465</v>
      </c>
      <c r="C975" s="6" t="s">
        <v>5</v>
      </c>
      <c r="D975" s="6" t="s">
        <v>20</v>
      </c>
      <c r="E975" s="6" t="s">
        <v>30</v>
      </c>
      <c r="F975" s="4">
        <v>41159.043830493625</v>
      </c>
    </row>
    <row r="976" spans="2:6" x14ac:dyDescent="0.25">
      <c r="B976" s="5">
        <v>42473</v>
      </c>
      <c r="C976" s="6" t="s">
        <v>14</v>
      </c>
      <c r="D976" s="6" t="s">
        <v>15</v>
      </c>
      <c r="E976" s="6" t="s">
        <v>98</v>
      </c>
      <c r="F976" s="4">
        <v>61554.465089235739</v>
      </c>
    </row>
    <row r="977" spans="2:6" x14ac:dyDescent="0.25">
      <c r="B977" s="5">
        <v>42476</v>
      </c>
      <c r="C977" s="6" t="s">
        <v>5</v>
      </c>
      <c r="D977" s="6" t="s">
        <v>35</v>
      </c>
      <c r="E977" s="6" t="s">
        <v>159</v>
      </c>
      <c r="F977" s="4">
        <v>62182.294027669646</v>
      </c>
    </row>
    <row r="978" spans="2:6" x14ac:dyDescent="0.25">
      <c r="B978" s="5">
        <v>42478</v>
      </c>
      <c r="C978" s="6" t="s">
        <v>5</v>
      </c>
      <c r="D978" s="6" t="s">
        <v>26</v>
      </c>
      <c r="E978" s="6" t="s">
        <v>64</v>
      </c>
      <c r="F978" s="4">
        <v>89637.804959634974</v>
      </c>
    </row>
    <row r="979" spans="2:6" x14ac:dyDescent="0.25">
      <c r="B979" s="5">
        <v>42480</v>
      </c>
      <c r="C979" s="6" t="s">
        <v>5</v>
      </c>
      <c r="D979" s="6" t="s">
        <v>46</v>
      </c>
      <c r="E979" s="6" t="s">
        <v>56</v>
      </c>
      <c r="F979" s="4">
        <v>74887.944537846837</v>
      </c>
    </row>
    <row r="980" spans="2:6" x14ac:dyDescent="0.25">
      <c r="B980" s="5">
        <v>42481</v>
      </c>
      <c r="C980" s="6" t="s">
        <v>5</v>
      </c>
      <c r="D980" s="6" t="s">
        <v>20</v>
      </c>
      <c r="E980" s="6" t="s">
        <v>149</v>
      </c>
      <c r="F980" s="4">
        <v>37752.859043041259</v>
      </c>
    </row>
    <row r="981" spans="2:6" x14ac:dyDescent="0.25">
      <c r="B981" s="5">
        <v>42481</v>
      </c>
      <c r="C981" s="6" t="s">
        <v>14</v>
      </c>
      <c r="D981" s="6" t="s">
        <v>46</v>
      </c>
      <c r="E981" s="6" t="s">
        <v>180</v>
      </c>
      <c r="F981" s="4">
        <v>56717.189420551258</v>
      </c>
    </row>
    <row r="982" spans="2:6" x14ac:dyDescent="0.25">
      <c r="B982" s="5">
        <v>42482</v>
      </c>
      <c r="C982" s="6" t="s">
        <v>5</v>
      </c>
      <c r="D982" s="6" t="s">
        <v>28</v>
      </c>
      <c r="E982" s="6" t="s">
        <v>149</v>
      </c>
      <c r="F982" s="4">
        <v>44774.572052553565</v>
      </c>
    </row>
    <row r="983" spans="2:6" x14ac:dyDescent="0.25">
      <c r="B983" s="5">
        <v>42485</v>
      </c>
      <c r="C983" s="6" t="s">
        <v>14</v>
      </c>
      <c r="D983" s="6" t="s">
        <v>33</v>
      </c>
      <c r="E983" s="6" t="s">
        <v>93</v>
      </c>
      <c r="F983" s="4">
        <v>35272.126832280781</v>
      </c>
    </row>
    <row r="984" spans="2:6" x14ac:dyDescent="0.25">
      <c r="B984" s="5">
        <v>42488</v>
      </c>
      <c r="C984" s="6" t="s">
        <v>14</v>
      </c>
      <c r="D984" s="6" t="s">
        <v>28</v>
      </c>
      <c r="E984" s="6" t="s">
        <v>25</v>
      </c>
      <c r="F984" s="4">
        <v>24320.156085915813</v>
      </c>
    </row>
    <row r="985" spans="2:6" x14ac:dyDescent="0.25">
      <c r="B985" s="5">
        <v>42490</v>
      </c>
      <c r="C985" s="6" t="s">
        <v>14</v>
      </c>
      <c r="D985" s="6" t="s">
        <v>18</v>
      </c>
      <c r="E985" s="6" t="s">
        <v>75</v>
      </c>
      <c r="F985" s="4">
        <v>60959.975750154343</v>
      </c>
    </row>
    <row r="986" spans="2:6" x14ac:dyDescent="0.25">
      <c r="B986" s="5">
        <v>42495</v>
      </c>
      <c r="C986" s="6" t="s">
        <v>14</v>
      </c>
      <c r="D986" s="6" t="s">
        <v>9</v>
      </c>
      <c r="E986" s="6" t="s">
        <v>156</v>
      </c>
      <c r="F986" s="4">
        <v>48503.123138612471</v>
      </c>
    </row>
    <row r="987" spans="2:6" x14ac:dyDescent="0.25">
      <c r="B987" s="5">
        <v>42496</v>
      </c>
      <c r="C987" s="6" t="s">
        <v>8</v>
      </c>
      <c r="D987" s="6" t="s">
        <v>18</v>
      </c>
      <c r="E987" s="6" t="s">
        <v>111</v>
      </c>
      <c r="F987" s="4">
        <v>76540.030807847565</v>
      </c>
    </row>
    <row r="988" spans="2:6" x14ac:dyDescent="0.25">
      <c r="B988" s="5">
        <v>42501</v>
      </c>
      <c r="C988" s="6" t="s">
        <v>8</v>
      </c>
      <c r="D988" s="6" t="s">
        <v>46</v>
      </c>
      <c r="E988" s="6" t="s">
        <v>63</v>
      </c>
      <c r="F988" s="4">
        <v>90622.772299928896</v>
      </c>
    </row>
    <row r="989" spans="2:6" x14ac:dyDescent="0.25">
      <c r="B989" s="5">
        <v>42502</v>
      </c>
      <c r="C989" s="6" t="s">
        <v>8</v>
      </c>
      <c r="D989" s="6" t="s">
        <v>54</v>
      </c>
      <c r="E989" s="6" t="s">
        <v>81</v>
      </c>
      <c r="F989" s="4">
        <v>14090.399664689368</v>
      </c>
    </row>
    <row r="990" spans="2:6" x14ac:dyDescent="0.25">
      <c r="B990" s="5">
        <v>42506</v>
      </c>
      <c r="C990" s="6" t="s">
        <v>8</v>
      </c>
      <c r="D990" s="6" t="s">
        <v>9</v>
      </c>
      <c r="E990" s="6" t="s">
        <v>154</v>
      </c>
      <c r="F990" s="4">
        <v>59434.077630768763</v>
      </c>
    </row>
    <row r="991" spans="2:6" x14ac:dyDescent="0.25">
      <c r="B991" s="5">
        <v>42506</v>
      </c>
      <c r="C991" s="6" t="s">
        <v>5</v>
      </c>
      <c r="D991" s="6" t="s">
        <v>15</v>
      </c>
      <c r="E991" s="6" t="s">
        <v>117</v>
      </c>
      <c r="F991" s="4">
        <v>18756.558613159796</v>
      </c>
    </row>
    <row r="992" spans="2:6" x14ac:dyDescent="0.25">
      <c r="B992" s="5">
        <v>42507</v>
      </c>
      <c r="C992" s="6" t="s">
        <v>8</v>
      </c>
      <c r="D992" s="6" t="s">
        <v>12</v>
      </c>
      <c r="E992" s="6" t="s">
        <v>181</v>
      </c>
      <c r="F992" s="4">
        <v>63775.757859188583</v>
      </c>
    </row>
    <row r="993" spans="2:6" x14ac:dyDescent="0.25">
      <c r="B993" s="5">
        <v>42509</v>
      </c>
      <c r="C993" s="6" t="s">
        <v>5</v>
      </c>
      <c r="D993" s="6" t="s">
        <v>23</v>
      </c>
      <c r="E993" s="6" t="s">
        <v>110</v>
      </c>
      <c r="F993" s="4">
        <v>57324.736189529416</v>
      </c>
    </row>
    <row r="994" spans="2:6" x14ac:dyDescent="0.25">
      <c r="B994" s="5">
        <v>42510</v>
      </c>
      <c r="C994" s="6" t="s">
        <v>5</v>
      </c>
      <c r="D994" s="6" t="s">
        <v>54</v>
      </c>
      <c r="E994" s="6" t="s">
        <v>51</v>
      </c>
      <c r="F994" s="4">
        <v>85898.731262586778</v>
      </c>
    </row>
    <row r="995" spans="2:6" x14ac:dyDescent="0.25">
      <c r="B995" s="5">
        <v>42511</v>
      </c>
      <c r="C995" s="6" t="s">
        <v>5</v>
      </c>
      <c r="D995" s="6" t="s">
        <v>40</v>
      </c>
      <c r="E995" s="6" t="s">
        <v>183</v>
      </c>
      <c r="F995" s="4">
        <v>91224.277893203689</v>
      </c>
    </row>
    <row r="996" spans="2:6" x14ac:dyDescent="0.25">
      <c r="B996" s="5">
        <v>42520</v>
      </c>
      <c r="C996" s="6" t="s">
        <v>5</v>
      </c>
      <c r="D996" s="6" t="s">
        <v>33</v>
      </c>
      <c r="E996" s="6" t="s">
        <v>72</v>
      </c>
      <c r="F996" s="4">
        <v>79208.941837052102</v>
      </c>
    </row>
    <row r="997" spans="2:6" x14ac:dyDescent="0.25">
      <c r="B997" s="5">
        <v>42521</v>
      </c>
      <c r="C997" s="6" t="s">
        <v>5</v>
      </c>
      <c r="D997" s="6" t="s">
        <v>15</v>
      </c>
      <c r="E997" s="6" t="s">
        <v>129</v>
      </c>
      <c r="F997" s="4">
        <v>38705.565866118843</v>
      </c>
    </row>
    <row r="998" spans="2:6" x14ac:dyDescent="0.25">
      <c r="B998" s="5">
        <v>42524</v>
      </c>
      <c r="C998" s="6" t="s">
        <v>5</v>
      </c>
      <c r="D998" s="6" t="s">
        <v>43</v>
      </c>
      <c r="E998" s="6" t="s">
        <v>170</v>
      </c>
      <c r="F998" s="4">
        <v>71965.859581639161</v>
      </c>
    </row>
    <row r="999" spans="2:6" x14ac:dyDescent="0.25">
      <c r="B999" s="5">
        <v>42528</v>
      </c>
      <c r="C999" s="6" t="s">
        <v>11</v>
      </c>
      <c r="D999" s="6" t="s">
        <v>23</v>
      </c>
      <c r="E999" s="6" t="s">
        <v>74</v>
      </c>
      <c r="F999" s="4">
        <v>44773.500823860195</v>
      </c>
    </row>
    <row r="1000" spans="2:6" x14ac:dyDescent="0.25">
      <c r="B1000" s="5">
        <v>42529</v>
      </c>
      <c r="C1000" s="6" t="s">
        <v>5</v>
      </c>
      <c r="D1000" s="6" t="s">
        <v>35</v>
      </c>
      <c r="E1000" s="6" t="s">
        <v>87</v>
      </c>
      <c r="F1000" s="4">
        <v>1</v>
      </c>
    </row>
    <row r="1001" spans="2:6" x14ac:dyDescent="0.25">
      <c r="B1001" s="5">
        <v>42533</v>
      </c>
      <c r="C1001" s="6" t="s">
        <v>8</v>
      </c>
      <c r="D1001" s="6" t="s">
        <v>6</v>
      </c>
      <c r="E1001" s="6" t="s">
        <v>73</v>
      </c>
      <c r="F1001" s="4">
        <v>1</v>
      </c>
    </row>
    <row r="1002" spans="2:6" x14ac:dyDescent="0.25">
      <c r="B1002" s="5">
        <v>42534</v>
      </c>
      <c r="C1002" s="6" t="s">
        <v>11</v>
      </c>
      <c r="D1002" s="6" t="s">
        <v>20</v>
      </c>
      <c r="E1002" s="6" t="s">
        <v>124</v>
      </c>
      <c r="F1002" s="4">
        <v>1</v>
      </c>
    </row>
    <row r="1003" spans="2:6" x14ac:dyDescent="0.25">
      <c r="B1003" s="5">
        <v>42536</v>
      </c>
      <c r="C1003" s="6" t="s">
        <v>14</v>
      </c>
      <c r="D1003" s="6" t="s">
        <v>33</v>
      </c>
      <c r="E1003" s="6" t="s">
        <v>110</v>
      </c>
      <c r="F1003" s="4">
        <v>1</v>
      </c>
    </row>
    <row r="1009" customFormat="1" x14ac:dyDescent="0.25"/>
    <row r="1010" customFormat="1" x14ac:dyDescent="0.25"/>
    <row r="1011" customFormat="1" x14ac:dyDescent="0.25"/>
    <row r="1012" customFormat="1" x14ac:dyDescent="0.25"/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3DE09-BF89-4864-B25E-09992603A25E}">
  <sheetPr codeName="Arkusz2"/>
  <dimension ref="B2:M1000"/>
  <sheetViews>
    <sheetView showGridLines="0" tabSelected="1" workbookViewId="0">
      <selection activeCell="E15" sqref="E15"/>
    </sheetView>
  </sheetViews>
  <sheetFormatPr defaultRowHeight="15" x14ac:dyDescent="0.25"/>
  <cols>
    <col min="1" max="1" width="3.28515625" customWidth="1"/>
    <col min="2" max="2" width="6.5703125" customWidth="1"/>
    <col min="3" max="3" width="12.85546875" bestFit="1" customWidth="1"/>
    <col min="4" max="4" width="14.140625" customWidth="1"/>
    <col min="5" max="5" width="18.42578125" bestFit="1" customWidth="1"/>
    <col min="6" max="6" width="21" bestFit="1" customWidth="1"/>
    <col min="7" max="7" width="12.42578125" bestFit="1" customWidth="1"/>
    <col min="8" max="8" width="4.28515625" customWidth="1"/>
    <col min="9" max="9" width="12" customWidth="1"/>
    <col min="11" max="11" width="2.42578125" customWidth="1"/>
    <col min="12" max="12" width="13.28515625" customWidth="1"/>
    <col min="17" max="17" width="9.42578125" bestFit="1" customWidth="1"/>
  </cols>
  <sheetData>
    <row r="2" spans="2:13" x14ac:dyDescent="0.25">
      <c r="C2" s="8" t="s">
        <v>195</v>
      </c>
      <c r="D2" s="10" t="s">
        <v>14</v>
      </c>
      <c r="E2" s="11" t="s">
        <v>200</v>
      </c>
      <c r="F2" s="11"/>
      <c r="G2" s="11"/>
      <c r="I2" t="s">
        <v>197</v>
      </c>
    </row>
    <row r="3" spans="2:13" ht="4.5" customHeight="1" x14ac:dyDescent="0.25"/>
    <row r="4" spans="2:13" x14ac:dyDescent="0.25">
      <c r="C4" s="8" t="s">
        <v>196</v>
      </c>
      <c r="D4" s="10">
        <f>COUNTIFS(tblData[Region],selectedRegion)</f>
        <v>153</v>
      </c>
      <c r="I4" s="8" t="s">
        <v>198</v>
      </c>
      <c r="J4" s="10">
        <v>0</v>
      </c>
      <c r="L4" s="8" t="s">
        <v>199</v>
      </c>
      <c r="M4" s="10">
        <f>salesNum-25</f>
        <v>128</v>
      </c>
    </row>
    <row r="6" spans="2:13" ht="15.75" thickBot="1" x14ac:dyDescent="0.3">
      <c r="B6" s="22" t="s">
        <v>201</v>
      </c>
      <c r="C6" s="18" t="str" cm="1">
        <f t="array" ref="C6:G6">tblData[#Headers]</f>
        <v>Date</v>
      </c>
      <c r="D6" s="18" t="str">
        <v>Region</v>
      </c>
      <c r="E6" s="18" t="str">
        <v>SalesRep</v>
      </c>
      <c r="F6" s="18" t="str">
        <v>Product</v>
      </c>
      <c r="G6" s="19" t="str">
        <v>Sales</v>
      </c>
    </row>
    <row r="7" spans="2:13" x14ac:dyDescent="0.25">
      <c r="B7" s="21" t="str" cm="1">
        <f t="array" ref="B7:B31">TEXT(_xlfn.SEQUENCE(25,1,J4+1,1), "000") &amp; "."</f>
        <v>001.</v>
      </c>
      <c r="C7" s="15" cm="1">
        <f t="array" ref="C7:G31">_xlfn.TAKE(IFERROR(_xlfn.DROP(_xlfn._xlws.FILTER(tblData[],tblData[Region] = selectedRegion, {"","","","",""}),J4),{"","","","",""}),25)</f>
        <v>40180</v>
      </c>
      <c r="D7" s="16" t="str">
        <v>West</v>
      </c>
      <c r="E7" s="16" t="str">
        <v>Rick Shaw</v>
      </c>
      <c r="F7" s="16" t="str">
        <v>Waraji</v>
      </c>
      <c r="G7" s="17">
        <v>1000000</v>
      </c>
    </row>
    <row r="8" spans="2:13" x14ac:dyDescent="0.25">
      <c r="B8" s="20" t="str">
        <v>002.</v>
      </c>
      <c r="C8" s="12">
        <v>40191</v>
      </c>
      <c r="D8" s="13" t="str">
        <v>West</v>
      </c>
      <c r="E8" s="13" t="str">
        <v>Al O'Pesha</v>
      </c>
      <c r="F8" s="13" t="str">
        <v xml:space="preserve">Peep-toe </v>
      </c>
      <c r="G8" s="14">
        <v>66842.007136382381</v>
      </c>
    </row>
    <row r="9" spans="2:13" x14ac:dyDescent="0.25">
      <c r="B9" s="20" t="str">
        <v>003.</v>
      </c>
      <c r="C9" s="12">
        <v>40191</v>
      </c>
      <c r="D9" s="13" t="str">
        <v>West</v>
      </c>
      <c r="E9" s="13" t="str">
        <v>Al O'Pesha</v>
      </c>
      <c r="F9" s="13" t="str">
        <v xml:space="preserve">Peep-toe </v>
      </c>
      <c r="G9" s="14">
        <v>66842.007136382381</v>
      </c>
    </row>
    <row r="10" spans="2:13" x14ac:dyDescent="0.25">
      <c r="B10" s="20" t="str">
        <v>004.</v>
      </c>
      <c r="C10" s="12">
        <v>40212</v>
      </c>
      <c r="D10" s="13" t="str">
        <v>West</v>
      </c>
      <c r="E10" s="13" t="str">
        <v>Polly Urathane</v>
      </c>
      <c r="F10" s="13" t="str">
        <v>PadukaPaduka</v>
      </c>
      <c r="G10" s="14">
        <v>59021.597589406512</v>
      </c>
    </row>
    <row r="11" spans="2:13" x14ac:dyDescent="0.25">
      <c r="B11" s="20" t="str">
        <v>005.</v>
      </c>
      <c r="C11" s="12">
        <v>40223</v>
      </c>
      <c r="D11" s="13" t="str">
        <v>West</v>
      </c>
      <c r="E11" s="13" t="str">
        <v>Dane Jir</v>
      </c>
      <c r="F11" s="13" t="str">
        <v>Veldskoen</v>
      </c>
      <c r="G11" s="14">
        <v>42556.881970665527</v>
      </c>
    </row>
    <row r="12" spans="2:13" x14ac:dyDescent="0.25">
      <c r="B12" s="20" t="str">
        <v>006.</v>
      </c>
      <c r="C12" s="12">
        <v>40232</v>
      </c>
      <c r="D12" s="13" t="str">
        <v>West</v>
      </c>
      <c r="E12" s="13" t="str">
        <v>Jack Potts</v>
      </c>
      <c r="F12" s="13" t="str">
        <v>Jipsin</v>
      </c>
      <c r="G12" s="14">
        <v>28455.585578543381</v>
      </c>
    </row>
    <row r="13" spans="2:13" x14ac:dyDescent="0.25">
      <c r="B13" s="20" t="str">
        <v>007.</v>
      </c>
      <c r="C13" s="12">
        <v>40247</v>
      </c>
      <c r="D13" s="13" t="str">
        <v>West</v>
      </c>
      <c r="E13" s="13" t="str">
        <v>Polly Urathane</v>
      </c>
      <c r="F13" s="13" t="str">
        <v>Klomp</v>
      </c>
      <c r="G13" s="14">
        <v>28421.788327914088</v>
      </c>
    </row>
    <row r="14" spans="2:13" x14ac:dyDescent="0.25">
      <c r="B14" s="20" t="str">
        <v>008.</v>
      </c>
      <c r="C14" s="12">
        <v>40249</v>
      </c>
      <c r="D14" s="13" t="str">
        <v>West</v>
      </c>
      <c r="E14" s="13" t="str">
        <v>Rick Shaw</v>
      </c>
      <c r="F14" s="13" t="str">
        <v>Racing flat</v>
      </c>
      <c r="G14" s="14">
        <v>61632.518988768286</v>
      </c>
    </row>
    <row r="15" spans="2:13" x14ac:dyDescent="0.25">
      <c r="B15" s="20" t="str">
        <v>009.</v>
      </c>
      <c r="C15" s="12">
        <v>40253</v>
      </c>
      <c r="D15" s="13" t="str">
        <v>West</v>
      </c>
      <c r="E15" s="13" t="str">
        <v>Ann Tenna</v>
      </c>
      <c r="F15" s="13" t="str">
        <v>Furlane</v>
      </c>
      <c r="G15" s="14">
        <v>83997.518716568578</v>
      </c>
    </row>
    <row r="16" spans="2:13" x14ac:dyDescent="0.25">
      <c r="B16" s="20" t="str">
        <v>010.</v>
      </c>
      <c r="C16" s="12">
        <v>40280</v>
      </c>
      <c r="D16" s="13" t="str">
        <v>West</v>
      </c>
      <c r="E16" s="13" t="str">
        <v>Helena Handbasket</v>
      </c>
      <c r="F16" s="13" t="str">
        <v>Balgha</v>
      </c>
      <c r="G16" s="14">
        <v>86432.761009035486</v>
      </c>
    </row>
    <row r="17" spans="2:7" x14ac:dyDescent="0.25">
      <c r="B17" s="20" t="str">
        <v>011.</v>
      </c>
      <c r="C17" s="12">
        <v>40290</v>
      </c>
      <c r="D17" s="13" t="str">
        <v>West</v>
      </c>
      <c r="E17" s="13" t="str">
        <v>Al O'Pesha</v>
      </c>
      <c r="F17" s="13" t="str">
        <v>Chukka</v>
      </c>
      <c r="G17" s="14">
        <v>57749.252300412722</v>
      </c>
    </row>
    <row r="18" spans="2:7" x14ac:dyDescent="0.25">
      <c r="B18" s="20" t="str">
        <v>012.</v>
      </c>
      <c r="C18" s="12">
        <v>40290</v>
      </c>
      <c r="D18" s="13" t="str">
        <v>West</v>
      </c>
      <c r="E18" s="13" t="str">
        <v>Ben Dover</v>
      </c>
      <c r="F18" s="13" t="str">
        <v xml:space="preserve">Kung fu </v>
      </c>
      <c r="G18" s="14">
        <v>82056.589461281867</v>
      </c>
    </row>
    <row r="19" spans="2:7" x14ac:dyDescent="0.25">
      <c r="B19" s="20" t="str">
        <v>013.</v>
      </c>
      <c r="C19" s="12">
        <v>40292</v>
      </c>
      <c r="D19" s="13" t="str">
        <v>West</v>
      </c>
      <c r="E19" s="13" t="str">
        <v>Dane Jir</v>
      </c>
      <c r="F19" s="13" t="str">
        <v>Klomp</v>
      </c>
      <c r="G19" s="14">
        <v>88903.82238392935</v>
      </c>
    </row>
    <row r="20" spans="2:7" x14ac:dyDescent="0.25">
      <c r="B20" s="20" t="str">
        <v>014.</v>
      </c>
      <c r="C20" s="12">
        <v>40297</v>
      </c>
      <c r="D20" s="13" t="str">
        <v>West</v>
      </c>
      <c r="E20" s="13" t="str">
        <v>Art Klass</v>
      </c>
      <c r="F20" s="13" t="str">
        <v xml:space="preserve">Roller </v>
      </c>
      <c r="G20" s="14">
        <v>47279.88533434111</v>
      </c>
    </row>
    <row r="21" spans="2:7" x14ac:dyDescent="0.25">
      <c r="B21" s="20" t="str">
        <v>015.</v>
      </c>
      <c r="C21" s="12">
        <v>40304</v>
      </c>
      <c r="D21" s="13" t="str">
        <v>West</v>
      </c>
      <c r="E21" s="13" t="str">
        <v>Dane Jir</v>
      </c>
      <c r="F21" s="13" t="str">
        <v>Okobo</v>
      </c>
      <c r="G21" s="14">
        <v>77500.479483582196</v>
      </c>
    </row>
    <row r="22" spans="2:7" x14ac:dyDescent="0.25">
      <c r="B22" s="20" t="str">
        <v>016.</v>
      </c>
      <c r="C22" s="12">
        <v>40327</v>
      </c>
      <c r="D22" s="13" t="str">
        <v>West</v>
      </c>
      <c r="E22" s="13" t="str">
        <v>Ann Tenna</v>
      </c>
      <c r="F22" s="13" t="str">
        <v>Sneakers</v>
      </c>
      <c r="G22" s="14">
        <v>73340.182259582783</v>
      </c>
    </row>
    <row r="23" spans="2:7" x14ac:dyDescent="0.25">
      <c r="B23" s="20" t="str">
        <v>017.</v>
      </c>
      <c r="C23" s="12">
        <v>40327</v>
      </c>
      <c r="D23" s="13" t="str">
        <v>West</v>
      </c>
      <c r="E23" s="13" t="str">
        <v>Helena Handbasket</v>
      </c>
      <c r="F23" s="13" t="str">
        <v>Plimsoll</v>
      </c>
      <c r="G23" s="14">
        <v>11750.013127283597</v>
      </c>
    </row>
    <row r="24" spans="2:7" x14ac:dyDescent="0.25">
      <c r="B24" s="20" t="str">
        <v>018.</v>
      </c>
      <c r="C24" s="12">
        <v>40340</v>
      </c>
      <c r="D24" s="13" t="str">
        <v>West</v>
      </c>
      <c r="E24" s="13" t="str">
        <v>Brandy Alexander</v>
      </c>
      <c r="F24" s="13" t="str">
        <v>Jungle</v>
      </c>
      <c r="G24" s="14">
        <v>74372.381211779226</v>
      </c>
    </row>
    <row r="25" spans="2:7" x14ac:dyDescent="0.25">
      <c r="B25" s="20" t="str">
        <v>019.</v>
      </c>
      <c r="C25" s="12">
        <v>40392</v>
      </c>
      <c r="D25" s="13" t="str">
        <v>West</v>
      </c>
      <c r="E25" s="13" t="str">
        <v>Helen Bach</v>
      </c>
      <c r="F25" s="13" t="str">
        <v>Espadrille</v>
      </c>
      <c r="G25" s="14">
        <v>69439.97530471682</v>
      </c>
    </row>
    <row r="26" spans="2:7" x14ac:dyDescent="0.25">
      <c r="B26" s="20" t="str">
        <v>020.</v>
      </c>
      <c r="C26" s="12">
        <v>40420</v>
      </c>
      <c r="D26" s="13" t="str">
        <v>West</v>
      </c>
      <c r="E26" s="13" t="str">
        <v>Helena Handbasket</v>
      </c>
      <c r="F26" s="13" t="str">
        <v>Tzangion</v>
      </c>
      <c r="G26" s="14">
        <v>66207.167537970265</v>
      </c>
    </row>
    <row r="27" spans="2:7" x14ac:dyDescent="0.25">
      <c r="B27" s="20" t="str">
        <v>021.</v>
      </c>
      <c r="C27" s="12">
        <v>40420</v>
      </c>
      <c r="D27" s="13" t="str">
        <v>West</v>
      </c>
      <c r="E27" s="13" t="str">
        <v>Dane Jir</v>
      </c>
      <c r="F27" s="13" t="str">
        <v xml:space="preserve">Hiking </v>
      </c>
      <c r="G27" s="14">
        <v>44141.543717721179</v>
      </c>
    </row>
    <row r="28" spans="2:7" x14ac:dyDescent="0.25">
      <c r="B28" s="20" t="str">
        <v>022.</v>
      </c>
      <c r="C28" s="12">
        <v>40425</v>
      </c>
      <c r="D28" s="13" t="str">
        <v>West</v>
      </c>
      <c r="E28" s="13" t="str">
        <v>Terry Daktyl</v>
      </c>
      <c r="F28" s="13" t="str">
        <v>Jungle</v>
      </c>
      <c r="G28" s="14">
        <v>58843.051386566636</v>
      </c>
    </row>
    <row r="29" spans="2:7" x14ac:dyDescent="0.25">
      <c r="B29" s="20" t="str">
        <v>023.</v>
      </c>
      <c r="C29" s="12">
        <v>40526</v>
      </c>
      <c r="D29" s="13" t="str">
        <v>West</v>
      </c>
      <c r="E29" s="13" t="str">
        <v>Al O'Pesha</v>
      </c>
      <c r="F29" s="13" t="str">
        <v>Cantabrian albarcas</v>
      </c>
      <c r="G29" s="14">
        <v>96744.005769800948</v>
      </c>
    </row>
    <row r="30" spans="2:7" x14ac:dyDescent="0.25">
      <c r="B30" s="20" t="str">
        <v>024.</v>
      </c>
      <c r="C30" s="12">
        <v>40536</v>
      </c>
      <c r="D30" s="13" t="str">
        <v>West</v>
      </c>
      <c r="E30" s="13" t="str">
        <v>Rick Shaw</v>
      </c>
      <c r="F30" s="13" t="str">
        <v>Over-the-knee boot</v>
      </c>
      <c r="G30" s="14">
        <v>33765.96560788231</v>
      </c>
    </row>
    <row r="31" spans="2:7" x14ac:dyDescent="0.25">
      <c r="B31" s="20" t="str">
        <v>025.</v>
      </c>
      <c r="C31" s="12">
        <v>40537</v>
      </c>
      <c r="D31" s="13" t="str">
        <v>West</v>
      </c>
      <c r="E31" s="13" t="str">
        <v>Paige Turner</v>
      </c>
      <c r="F31" s="13" t="str">
        <v>Patten</v>
      </c>
      <c r="G31" s="14">
        <v>23043.677496702814</v>
      </c>
    </row>
    <row r="32" spans="2:7" x14ac:dyDescent="0.25">
      <c r="C32" s="5"/>
      <c r="D32" s="2"/>
      <c r="E32" s="2"/>
      <c r="F32" s="2"/>
      <c r="G32" s="4"/>
    </row>
    <row r="33" spans="3:7" x14ac:dyDescent="0.25">
      <c r="C33" s="5"/>
      <c r="D33" s="2"/>
      <c r="E33" s="2"/>
      <c r="F33" s="2"/>
      <c r="G33" s="4"/>
    </row>
    <row r="34" spans="3:7" x14ac:dyDescent="0.25">
      <c r="C34" s="5"/>
      <c r="D34" s="2"/>
      <c r="E34" s="2"/>
      <c r="F34" s="2"/>
      <c r="G34" s="4"/>
    </row>
    <row r="35" spans="3:7" x14ac:dyDescent="0.25">
      <c r="C35" s="5"/>
      <c r="D35" s="2"/>
      <c r="E35" s="2"/>
      <c r="F35" s="2"/>
      <c r="G35" s="4"/>
    </row>
    <row r="36" spans="3:7" x14ac:dyDescent="0.25">
      <c r="C36" s="5"/>
      <c r="D36" s="2"/>
      <c r="E36" s="2"/>
      <c r="F36" s="2"/>
      <c r="G36" s="4"/>
    </row>
    <row r="37" spans="3:7" x14ac:dyDescent="0.25">
      <c r="C37" s="5"/>
      <c r="D37" s="2"/>
      <c r="E37" s="2"/>
      <c r="F37" s="2"/>
      <c r="G37" s="4"/>
    </row>
    <row r="38" spans="3:7" x14ac:dyDescent="0.25">
      <c r="C38" s="5"/>
      <c r="D38" s="2"/>
      <c r="E38" s="2"/>
      <c r="F38" s="2"/>
      <c r="G38" s="4"/>
    </row>
    <row r="39" spans="3:7" x14ac:dyDescent="0.25">
      <c r="C39" s="5"/>
      <c r="D39" s="2"/>
      <c r="E39" s="2"/>
      <c r="F39" s="2"/>
      <c r="G39" s="4"/>
    </row>
    <row r="40" spans="3:7" x14ac:dyDescent="0.25">
      <c r="C40" s="5"/>
      <c r="D40" s="2"/>
      <c r="E40" s="2"/>
      <c r="F40" s="2"/>
      <c r="G40" s="4"/>
    </row>
    <row r="41" spans="3:7" x14ac:dyDescent="0.25">
      <c r="C41" s="5"/>
      <c r="D41" s="2"/>
      <c r="E41" s="2"/>
      <c r="F41" s="2"/>
      <c r="G41" s="4"/>
    </row>
    <row r="42" spans="3:7" x14ac:dyDescent="0.25">
      <c r="C42" s="5"/>
      <c r="D42" s="2"/>
      <c r="E42" s="2"/>
      <c r="F42" s="2"/>
      <c r="G42" s="4"/>
    </row>
    <row r="43" spans="3:7" x14ac:dyDescent="0.25">
      <c r="C43" s="5"/>
      <c r="D43" s="2"/>
      <c r="E43" s="2"/>
      <c r="F43" s="2"/>
      <c r="G43" s="4"/>
    </row>
    <row r="44" spans="3:7" x14ac:dyDescent="0.25">
      <c r="C44" s="5"/>
      <c r="D44" s="2"/>
      <c r="E44" s="2"/>
      <c r="F44" s="2"/>
      <c r="G44" s="4"/>
    </row>
    <row r="45" spans="3:7" x14ac:dyDescent="0.25">
      <c r="C45" s="5"/>
      <c r="D45" s="2"/>
      <c r="E45" s="2"/>
      <c r="F45" s="2"/>
      <c r="G45" s="4"/>
    </row>
    <row r="46" spans="3:7" x14ac:dyDescent="0.25">
      <c r="C46" s="5"/>
      <c r="D46" s="2"/>
      <c r="E46" s="2"/>
      <c r="F46" s="2"/>
      <c r="G46" s="4"/>
    </row>
    <row r="47" spans="3:7" x14ac:dyDescent="0.25">
      <c r="C47" s="5"/>
      <c r="D47" s="2"/>
      <c r="E47" s="2"/>
      <c r="F47" s="2"/>
      <c r="G47" s="4"/>
    </row>
    <row r="48" spans="3:7" x14ac:dyDescent="0.25">
      <c r="C48" s="5"/>
      <c r="D48" s="2"/>
      <c r="E48" s="2"/>
      <c r="F48" s="2"/>
      <c r="G48" s="4"/>
    </row>
    <row r="49" spans="3:7" x14ac:dyDescent="0.25">
      <c r="C49" s="5"/>
      <c r="D49" s="2"/>
      <c r="E49" s="2"/>
      <c r="F49" s="2"/>
      <c r="G49" s="4"/>
    </row>
    <row r="50" spans="3:7" x14ac:dyDescent="0.25">
      <c r="C50" s="5"/>
      <c r="D50" s="2"/>
      <c r="E50" s="2"/>
      <c r="F50" s="2"/>
      <c r="G50" s="4"/>
    </row>
    <row r="51" spans="3:7" x14ac:dyDescent="0.25">
      <c r="C51" s="5"/>
      <c r="D51" s="2"/>
      <c r="E51" s="2"/>
      <c r="F51" s="2"/>
      <c r="G51" s="4"/>
    </row>
    <row r="52" spans="3:7" x14ac:dyDescent="0.25">
      <c r="C52" s="5"/>
      <c r="D52" s="2"/>
      <c r="E52" s="2"/>
      <c r="F52" s="2"/>
      <c r="G52" s="4"/>
    </row>
    <row r="53" spans="3:7" x14ac:dyDescent="0.25">
      <c r="C53" s="5"/>
      <c r="D53" s="2"/>
      <c r="E53" s="2"/>
      <c r="F53" s="2"/>
      <c r="G53" s="4"/>
    </row>
    <row r="54" spans="3:7" x14ac:dyDescent="0.25">
      <c r="C54" s="5"/>
      <c r="D54" s="2"/>
      <c r="E54" s="2"/>
      <c r="F54" s="2"/>
      <c r="G54" s="4"/>
    </row>
    <row r="55" spans="3:7" x14ac:dyDescent="0.25">
      <c r="C55" s="5"/>
      <c r="D55" s="2"/>
      <c r="E55" s="2"/>
      <c r="F55" s="2"/>
      <c r="G55" s="4"/>
    </row>
    <row r="56" spans="3:7" x14ac:dyDescent="0.25">
      <c r="C56" s="5"/>
      <c r="D56" s="2"/>
      <c r="E56" s="2"/>
      <c r="F56" s="2"/>
      <c r="G56" s="4"/>
    </row>
    <row r="57" spans="3:7" x14ac:dyDescent="0.25">
      <c r="C57" s="5"/>
      <c r="D57" s="2"/>
      <c r="E57" s="2"/>
      <c r="F57" s="2"/>
      <c r="G57" s="4"/>
    </row>
    <row r="58" spans="3:7" x14ac:dyDescent="0.25">
      <c r="C58" s="5"/>
      <c r="D58" s="2"/>
      <c r="E58" s="2"/>
      <c r="F58" s="2"/>
      <c r="G58" s="4"/>
    </row>
    <row r="59" spans="3:7" x14ac:dyDescent="0.25">
      <c r="C59" s="5"/>
      <c r="D59" s="2"/>
      <c r="E59" s="2"/>
      <c r="F59" s="2"/>
      <c r="G59" s="4"/>
    </row>
    <row r="60" spans="3:7" x14ac:dyDescent="0.25">
      <c r="C60" s="5"/>
      <c r="D60" s="2"/>
      <c r="E60" s="2"/>
      <c r="F60" s="2"/>
      <c r="G60" s="4"/>
    </row>
    <row r="61" spans="3:7" x14ac:dyDescent="0.25">
      <c r="C61" s="5"/>
      <c r="D61" s="2"/>
      <c r="E61" s="2"/>
      <c r="F61" s="2"/>
      <c r="G61" s="4"/>
    </row>
    <row r="62" spans="3:7" x14ac:dyDescent="0.25">
      <c r="C62" s="5"/>
      <c r="D62" s="2"/>
      <c r="E62" s="2"/>
      <c r="F62" s="2"/>
      <c r="G62" s="4"/>
    </row>
    <row r="63" spans="3:7" x14ac:dyDescent="0.25">
      <c r="C63" s="5"/>
      <c r="D63" s="2"/>
      <c r="E63" s="2"/>
      <c r="F63" s="2"/>
      <c r="G63" s="4"/>
    </row>
    <row r="64" spans="3:7" x14ac:dyDescent="0.25">
      <c r="C64" s="5"/>
      <c r="D64" s="2"/>
      <c r="E64" s="2"/>
      <c r="F64" s="2"/>
      <c r="G64" s="4"/>
    </row>
    <row r="65" spans="3:7" x14ac:dyDescent="0.25">
      <c r="C65" s="5"/>
      <c r="D65" s="2"/>
      <c r="E65" s="2"/>
      <c r="F65" s="2"/>
      <c r="G65" s="4"/>
    </row>
    <row r="66" spans="3:7" x14ac:dyDescent="0.25">
      <c r="C66" s="5"/>
      <c r="D66" s="2"/>
      <c r="E66" s="2"/>
      <c r="F66" s="2"/>
      <c r="G66" s="4"/>
    </row>
    <row r="67" spans="3:7" x14ac:dyDescent="0.25">
      <c r="C67" s="5"/>
      <c r="D67" s="2"/>
      <c r="E67" s="2"/>
      <c r="F67" s="2"/>
      <c r="G67" s="4"/>
    </row>
    <row r="68" spans="3:7" x14ac:dyDescent="0.25">
      <c r="C68" s="5"/>
      <c r="D68" s="2"/>
      <c r="E68" s="2"/>
      <c r="F68" s="2"/>
      <c r="G68" s="4"/>
    </row>
    <row r="69" spans="3:7" x14ac:dyDescent="0.25">
      <c r="C69" s="5"/>
      <c r="D69" s="2"/>
      <c r="E69" s="2"/>
      <c r="F69" s="2"/>
      <c r="G69" s="4"/>
    </row>
    <row r="70" spans="3:7" x14ac:dyDescent="0.25">
      <c r="C70" s="5"/>
      <c r="D70" s="2"/>
      <c r="E70" s="2"/>
      <c r="F70" s="2"/>
      <c r="G70" s="4"/>
    </row>
    <row r="71" spans="3:7" x14ac:dyDescent="0.25">
      <c r="C71" s="5"/>
      <c r="D71" s="2"/>
      <c r="E71" s="2"/>
      <c r="F71" s="2"/>
      <c r="G71" s="4"/>
    </row>
    <row r="72" spans="3:7" x14ac:dyDescent="0.25">
      <c r="C72" s="5"/>
      <c r="D72" s="2"/>
      <c r="E72" s="2"/>
      <c r="F72" s="2"/>
      <c r="G72" s="4"/>
    </row>
    <row r="73" spans="3:7" x14ac:dyDescent="0.25">
      <c r="C73" s="5"/>
      <c r="D73" s="2"/>
      <c r="E73" s="2"/>
      <c r="F73" s="2"/>
      <c r="G73" s="4"/>
    </row>
    <row r="74" spans="3:7" x14ac:dyDescent="0.25">
      <c r="C74" s="5"/>
      <c r="D74" s="2"/>
      <c r="E74" s="2"/>
      <c r="F74" s="2"/>
      <c r="G74" s="4"/>
    </row>
    <row r="75" spans="3:7" x14ac:dyDescent="0.25">
      <c r="C75" s="5"/>
      <c r="D75" s="2"/>
      <c r="E75" s="2"/>
      <c r="F75" s="2"/>
      <c r="G75" s="4"/>
    </row>
    <row r="76" spans="3:7" x14ac:dyDescent="0.25">
      <c r="C76" s="5"/>
      <c r="D76" s="2"/>
      <c r="E76" s="2"/>
      <c r="F76" s="2"/>
      <c r="G76" s="4"/>
    </row>
    <row r="77" spans="3:7" x14ac:dyDescent="0.25">
      <c r="C77" s="5"/>
      <c r="D77" s="2"/>
      <c r="E77" s="2"/>
      <c r="F77" s="2"/>
      <c r="G77" s="4"/>
    </row>
    <row r="78" spans="3:7" x14ac:dyDescent="0.25">
      <c r="C78" s="5"/>
      <c r="D78" s="2"/>
      <c r="E78" s="2"/>
      <c r="F78" s="2"/>
      <c r="G78" s="4"/>
    </row>
    <row r="79" spans="3:7" x14ac:dyDescent="0.25">
      <c r="C79" s="5"/>
      <c r="D79" s="2"/>
      <c r="E79" s="2"/>
      <c r="F79" s="2"/>
      <c r="G79" s="4"/>
    </row>
    <row r="80" spans="3:7" x14ac:dyDescent="0.25">
      <c r="C80" s="5"/>
      <c r="D80" s="2"/>
      <c r="E80" s="2"/>
      <c r="F80" s="2"/>
      <c r="G80" s="4"/>
    </row>
    <row r="81" spans="3:7" x14ac:dyDescent="0.25">
      <c r="C81" s="5"/>
      <c r="D81" s="2"/>
      <c r="E81" s="2"/>
      <c r="F81" s="2"/>
      <c r="G81" s="4"/>
    </row>
    <row r="82" spans="3:7" x14ac:dyDescent="0.25">
      <c r="C82" s="5"/>
      <c r="D82" s="2"/>
      <c r="E82" s="2"/>
      <c r="F82" s="2"/>
      <c r="G82" s="4"/>
    </row>
    <row r="83" spans="3:7" x14ac:dyDescent="0.25">
      <c r="C83" s="5"/>
      <c r="D83" s="2"/>
      <c r="E83" s="2"/>
      <c r="F83" s="2"/>
      <c r="G83" s="4"/>
    </row>
    <row r="84" spans="3:7" x14ac:dyDescent="0.25">
      <c r="C84" s="5"/>
      <c r="D84" s="2"/>
      <c r="E84" s="2"/>
      <c r="F84" s="2"/>
      <c r="G84" s="4"/>
    </row>
    <row r="85" spans="3:7" x14ac:dyDescent="0.25">
      <c r="C85" s="5"/>
      <c r="D85" s="2"/>
      <c r="E85" s="2"/>
      <c r="F85" s="2"/>
      <c r="G85" s="4"/>
    </row>
    <row r="86" spans="3:7" x14ac:dyDescent="0.25">
      <c r="C86" s="5"/>
      <c r="D86" s="2"/>
      <c r="E86" s="2"/>
      <c r="F86" s="2"/>
      <c r="G86" s="4"/>
    </row>
    <row r="87" spans="3:7" x14ac:dyDescent="0.25">
      <c r="C87" s="5"/>
      <c r="D87" s="2"/>
      <c r="E87" s="2"/>
      <c r="F87" s="2"/>
      <c r="G87" s="4"/>
    </row>
    <row r="88" spans="3:7" x14ac:dyDescent="0.25">
      <c r="C88" s="5"/>
      <c r="D88" s="2"/>
      <c r="E88" s="2"/>
      <c r="F88" s="2"/>
      <c r="G88" s="4"/>
    </row>
    <row r="89" spans="3:7" x14ac:dyDescent="0.25">
      <c r="C89" s="5"/>
      <c r="D89" s="2"/>
      <c r="E89" s="2"/>
      <c r="F89" s="2"/>
      <c r="G89" s="4"/>
    </row>
    <row r="90" spans="3:7" x14ac:dyDescent="0.25">
      <c r="C90" s="5"/>
      <c r="D90" s="2"/>
      <c r="E90" s="2"/>
      <c r="F90" s="2"/>
      <c r="G90" s="4"/>
    </row>
    <row r="91" spans="3:7" x14ac:dyDescent="0.25">
      <c r="C91" s="5"/>
      <c r="D91" s="2"/>
      <c r="E91" s="2"/>
      <c r="F91" s="2"/>
      <c r="G91" s="4"/>
    </row>
    <row r="92" spans="3:7" x14ac:dyDescent="0.25">
      <c r="C92" s="5"/>
      <c r="D92" s="2"/>
      <c r="E92" s="2"/>
      <c r="F92" s="2"/>
      <c r="G92" s="4"/>
    </row>
    <row r="93" spans="3:7" x14ac:dyDescent="0.25">
      <c r="C93" s="5"/>
      <c r="D93" s="2"/>
      <c r="E93" s="2"/>
      <c r="F93" s="2"/>
      <c r="G93" s="4"/>
    </row>
    <row r="94" spans="3:7" x14ac:dyDescent="0.25">
      <c r="C94" s="5"/>
      <c r="D94" s="2"/>
      <c r="E94" s="2"/>
      <c r="F94" s="2"/>
      <c r="G94" s="4"/>
    </row>
    <row r="95" spans="3:7" x14ac:dyDescent="0.25">
      <c r="C95" s="5"/>
      <c r="D95" s="2"/>
      <c r="E95" s="2"/>
      <c r="F95" s="2"/>
      <c r="G95" s="4"/>
    </row>
    <row r="96" spans="3:7" x14ac:dyDescent="0.25">
      <c r="C96" s="5"/>
      <c r="D96" s="2"/>
      <c r="E96" s="2"/>
      <c r="F96" s="2"/>
      <c r="G96" s="4"/>
    </row>
    <row r="97" spans="3:7" x14ac:dyDescent="0.25">
      <c r="C97" s="5"/>
      <c r="D97" s="2"/>
      <c r="E97" s="2"/>
      <c r="F97" s="2"/>
      <c r="G97" s="4"/>
    </row>
    <row r="98" spans="3:7" x14ac:dyDescent="0.25">
      <c r="C98" s="5"/>
      <c r="D98" s="2"/>
      <c r="E98" s="2"/>
      <c r="F98" s="2"/>
      <c r="G98" s="4"/>
    </row>
    <row r="99" spans="3:7" x14ac:dyDescent="0.25">
      <c r="C99" s="5"/>
      <c r="D99" s="2"/>
      <c r="E99" s="2"/>
      <c r="F99" s="2"/>
      <c r="G99" s="4"/>
    </row>
    <row r="100" spans="3:7" x14ac:dyDescent="0.25">
      <c r="C100" s="5"/>
      <c r="D100" s="2"/>
      <c r="E100" s="2"/>
      <c r="F100" s="2"/>
      <c r="G100" s="4"/>
    </row>
    <row r="101" spans="3:7" x14ac:dyDescent="0.25">
      <c r="C101" s="5"/>
      <c r="D101" s="2"/>
      <c r="E101" s="2"/>
      <c r="F101" s="2"/>
      <c r="G101" s="4"/>
    </row>
    <row r="102" spans="3:7" x14ac:dyDescent="0.25">
      <c r="C102" s="5"/>
      <c r="D102" s="2"/>
      <c r="E102" s="2"/>
      <c r="F102" s="2"/>
      <c r="G102" s="4"/>
    </row>
    <row r="103" spans="3:7" x14ac:dyDescent="0.25">
      <c r="C103" s="5"/>
      <c r="D103" s="2"/>
      <c r="E103" s="2"/>
      <c r="F103" s="2"/>
      <c r="G103" s="4"/>
    </row>
    <row r="104" spans="3:7" x14ac:dyDescent="0.25">
      <c r="C104" s="5"/>
      <c r="D104" s="2"/>
      <c r="E104" s="2"/>
      <c r="F104" s="2"/>
      <c r="G104" s="4"/>
    </row>
    <row r="105" spans="3:7" x14ac:dyDescent="0.25">
      <c r="C105" s="5"/>
      <c r="D105" s="2"/>
      <c r="E105" s="2"/>
      <c r="F105" s="2"/>
      <c r="G105" s="4"/>
    </row>
    <row r="106" spans="3:7" x14ac:dyDescent="0.25">
      <c r="C106" s="5"/>
      <c r="D106" s="2"/>
      <c r="E106" s="2"/>
      <c r="F106" s="2"/>
      <c r="G106" s="4"/>
    </row>
    <row r="107" spans="3:7" x14ac:dyDescent="0.25">
      <c r="C107" s="5"/>
      <c r="D107" s="2"/>
      <c r="E107" s="2"/>
      <c r="F107" s="2"/>
      <c r="G107" s="4"/>
    </row>
    <row r="108" spans="3:7" x14ac:dyDescent="0.25">
      <c r="C108" s="5"/>
      <c r="D108" s="2"/>
      <c r="E108" s="2"/>
      <c r="F108" s="2"/>
      <c r="G108" s="4"/>
    </row>
    <row r="109" spans="3:7" x14ac:dyDescent="0.25">
      <c r="C109" s="5"/>
      <c r="D109" s="2"/>
      <c r="E109" s="2"/>
      <c r="F109" s="2"/>
      <c r="G109" s="4"/>
    </row>
    <row r="110" spans="3:7" x14ac:dyDescent="0.25">
      <c r="C110" s="5"/>
      <c r="D110" s="2"/>
      <c r="E110" s="2"/>
      <c r="F110" s="2"/>
      <c r="G110" s="4"/>
    </row>
    <row r="111" spans="3:7" x14ac:dyDescent="0.25">
      <c r="C111" s="5"/>
      <c r="D111" s="2"/>
      <c r="E111" s="2"/>
      <c r="F111" s="2"/>
      <c r="G111" s="4"/>
    </row>
    <row r="112" spans="3:7" x14ac:dyDescent="0.25">
      <c r="C112" s="5"/>
      <c r="D112" s="2"/>
      <c r="E112" s="2"/>
      <c r="F112" s="2"/>
      <c r="G112" s="4"/>
    </row>
    <row r="113" spans="3:7" x14ac:dyDescent="0.25">
      <c r="C113" s="5"/>
      <c r="D113" s="2"/>
      <c r="E113" s="2"/>
      <c r="F113" s="2"/>
      <c r="G113" s="4"/>
    </row>
    <row r="114" spans="3:7" x14ac:dyDescent="0.25">
      <c r="C114" s="5"/>
      <c r="D114" s="2"/>
      <c r="E114" s="2"/>
      <c r="F114" s="2"/>
      <c r="G114" s="4"/>
    </row>
    <row r="115" spans="3:7" x14ac:dyDescent="0.25">
      <c r="C115" s="5"/>
      <c r="D115" s="2"/>
      <c r="E115" s="2"/>
      <c r="F115" s="2"/>
      <c r="G115" s="4"/>
    </row>
    <row r="116" spans="3:7" x14ac:dyDescent="0.25">
      <c r="C116" s="5"/>
      <c r="D116" s="2"/>
      <c r="E116" s="2"/>
      <c r="F116" s="2"/>
      <c r="G116" s="4"/>
    </row>
    <row r="117" spans="3:7" x14ac:dyDescent="0.25">
      <c r="C117" s="5"/>
      <c r="D117" s="2"/>
      <c r="E117" s="2"/>
      <c r="F117" s="2"/>
      <c r="G117" s="4"/>
    </row>
    <row r="118" spans="3:7" x14ac:dyDescent="0.25">
      <c r="C118" s="5"/>
      <c r="D118" s="2"/>
      <c r="E118" s="2"/>
      <c r="F118" s="2"/>
      <c r="G118" s="4"/>
    </row>
    <row r="119" spans="3:7" x14ac:dyDescent="0.25">
      <c r="C119" s="5"/>
      <c r="D119" s="2"/>
      <c r="E119" s="2"/>
      <c r="F119" s="2"/>
      <c r="G119" s="4"/>
    </row>
    <row r="120" spans="3:7" x14ac:dyDescent="0.25">
      <c r="C120" s="5"/>
      <c r="D120" s="2"/>
      <c r="E120" s="2"/>
      <c r="F120" s="2"/>
      <c r="G120" s="4"/>
    </row>
    <row r="121" spans="3:7" x14ac:dyDescent="0.25">
      <c r="C121" s="5"/>
      <c r="D121" s="2"/>
      <c r="E121" s="2"/>
      <c r="F121" s="2"/>
      <c r="G121" s="4"/>
    </row>
    <row r="122" spans="3:7" x14ac:dyDescent="0.25">
      <c r="C122" s="5"/>
      <c r="D122" s="2"/>
      <c r="E122" s="2"/>
      <c r="F122" s="2"/>
      <c r="G122" s="4"/>
    </row>
    <row r="123" spans="3:7" x14ac:dyDescent="0.25">
      <c r="C123" s="5"/>
      <c r="D123" s="2"/>
      <c r="E123" s="2"/>
      <c r="F123" s="2"/>
      <c r="G123" s="4"/>
    </row>
    <row r="124" spans="3:7" x14ac:dyDescent="0.25">
      <c r="C124" s="5"/>
      <c r="D124" s="2"/>
      <c r="E124" s="2"/>
      <c r="F124" s="2"/>
      <c r="G124" s="4"/>
    </row>
    <row r="125" spans="3:7" x14ac:dyDescent="0.25">
      <c r="C125" s="5"/>
      <c r="D125" s="2"/>
      <c r="E125" s="2"/>
      <c r="F125" s="2"/>
      <c r="G125" s="4"/>
    </row>
    <row r="126" spans="3:7" x14ac:dyDescent="0.25">
      <c r="C126" s="5"/>
      <c r="D126" s="2"/>
      <c r="E126" s="2"/>
      <c r="F126" s="2"/>
      <c r="G126" s="4"/>
    </row>
    <row r="127" spans="3:7" x14ac:dyDescent="0.25">
      <c r="C127" s="5"/>
      <c r="D127" s="2"/>
      <c r="E127" s="2"/>
      <c r="F127" s="2"/>
      <c r="G127" s="4"/>
    </row>
    <row r="128" spans="3:7" x14ac:dyDescent="0.25">
      <c r="C128" s="5"/>
      <c r="D128" s="2"/>
      <c r="E128" s="2"/>
      <c r="F128" s="2"/>
      <c r="G128" s="4"/>
    </row>
    <row r="129" spans="3:7" x14ac:dyDescent="0.25">
      <c r="C129" s="5"/>
      <c r="D129" s="2"/>
      <c r="E129" s="2"/>
      <c r="F129" s="2"/>
      <c r="G129" s="4"/>
    </row>
    <row r="130" spans="3:7" x14ac:dyDescent="0.25">
      <c r="C130" s="5"/>
      <c r="D130" s="2"/>
      <c r="E130" s="2"/>
      <c r="F130" s="2"/>
      <c r="G130" s="4"/>
    </row>
    <row r="131" spans="3:7" x14ac:dyDescent="0.25">
      <c r="C131" s="5"/>
      <c r="D131" s="2"/>
      <c r="E131" s="2"/>
      <c r="F131" s="2"/>
      <c r="G131" s="4"/>
    </row>
    <row r="132" spans="3:7" x14ac:dyDescent="0.25">
      <c r="C132" s="5"/>
      <c r="D132" s="2"/>
      <c r="E132" s="2"/>
      <c r="F132" s="2"/>
      <c r="G132" s="4"/>
    </row>
    <row r="133" spans="3:7" x14ac:dyDescent="0.25">
      <c r="C133" s="5"/>
      <c r="D133" s="2"/>
      <c r="E133" s="2"/>
      <c r="F133" s="2"/>
      <c r="G133" s="4"/>
    </row>
    <row r="134" spans="3:7" x14ac:dyDescent="0.25">
      <c r="C134" s="5"/>
      <c r="D134" s="2"/>
      <c r="E134" s="2"/>
      <c r="F134" s="2"/>
      <c r="G134" s="4"/>
    </row>
    <row r="135" spans="3:7" x14ac:dyDescent="0.25">
      <c r="C135" s="5"/>
      <c r="D135" s="2"/>
      <c r="E135" s="2"/>
      <c r="F135" s="2"/>
      <c r="G135" s="4"/>
    </row>
    <row r="136" spans="3:7" x14ac:dyDescent="0.25">
      <c r="C136" s="5"/>
      <c r="D136" s="2"/>
      <c r="E136" s="2"/>
      <c r="F136" s="2"/>
      <c r="G136" s="4"/>
    </row>
    <row r="137" spans="3:7" x14ac:dyDescent="0.25">
      <c r="C137" s="5"/>
      <c r="D137" s="2"/>
      <c r="E137" s="2"/>
      <c r="F137" s="2"/>
      <c r="G137" s="4"/>
    </row>
    <row r="138" spans="3:7" x14ac:dyDescent="0.25">
      <c r="C138" s="5"/>
      <c r="D138" s="2"/>
      <c r="E138" s="2"/>
      <c r="F138" s="2"/>
      <c r="G138" s="4"/>
    </row>
    <row r="139" spans="3:7" x14ac:dyDescent="0.25">
      <c r="C139" s="5"/>
      <c r="D139" s="2"/>
      <c r="E139" s="2"/>
      <c r="F139" s="2"/>
      <c r="G139" s="4"/>
    </row>
    <row r="140" spans="3:7" x14ac:dyDescent="0.25">
      <c r="C140" s="5"/>
      <c r="D140" s="2"/>
      <c r="E140" s="2"/>
      <c r="F140" s="2"/>
      <c r="G140" s="4"/>
    </row>
    <row r="141" spans="3:7" x14ac:dyDescent="0.25">
      <c r="C141" s="5"/>
      <c r="D141" s="2"/>
      <c r="E141" s="2"/>
      <c r="F141" s="2"/>
      <c r="G141" s="4"/>
    </row>
    <row r="142" spans="3:7" x14ac:dyDescent="0.25">
      <c r="C142" s="5"/>
      <c r="D142" s="2"/>
      <c r="E142" s="2"/>
      <c r="F142" s="2"/>
      <c r="G142" s="4"/>
    </row>
    <row r="143" spans="3:7" x14ac:dyDescent="0.25">
      <c r="C143" s="5"/>
      <c r="D143" s="2"/>
      <c r="E143" s="2"/>
      <c r="F143" s="2"/>
      <c r="G143" s="4"/>
    </row>
    <row r="144" spans="3:7" x14ac:dyDescent="0.25">
      <c r="C144" s="5"/>
      <c r="D144" s="2"/>
      <c r="E144" s="2"/>
      <c r="F144" s="2"/>
      <c r="G144" s="4"/>
    </row>
    <row r="145" spans="3:7" x14ac:dyDescent="0.25">
      <c r="C145" s="5"/>
      <c r="D145" s="2"/>
      <c r="E145" s="2"/>
      <c r="F145" s="2"/>
      <c r="G145" s="4"/>
    </row>
    <row r="146" spans="3:7" x14ac:dyDescent="0.25">
      <c r="C146" s="5"/>
      <c r="D146" s="2"/>
      <c r="E146" s="2"/>
      <c r="F146" s="2"/>
      <c r="G146" s="4"/>
    </row>
    <row r="147" spans="3:7" x14ac:dyDescent="0.25">
      <c r="C147" s="5"/>
      <c r="D147" s="2"/>
      <c r="E147" s="2"/>
      <c r="F147" s="2"/>
      <c r="G147" s="4"/>
    </row>
    <row r="148" spans="3:7" x14ac:dyDescent="0.25">
      <c r="C148" s="5"/>
      <c r="D148" s="2"/>
      <c r="E148" s="2"/>
      <c r="F148" s="2"/>
      <c r="G148" s="4"/>
    </row>
    <row r="149" spans="3:7" x14ac:dyDescent="0.25">
      <c r="C149" s="5"/>
      <c r="D149" s="2"/>
      <c r="E149" s="2"/>
      <c r="F149" s="2"/>
      <c r="G149" s="4"/>
    </row>
    <row r="150" spans="3:7" x14ac:dyDescent="0.25">
      <c r="C150" s="5"/>
      <c r="D150" s="2"/>
      <c r="E150" s="2"/>
      <c r="F150" s="2"/>
      <c r="G150" s="4"/>
    </row>
    <row r="151" spans="3:7" x14ac:dyDescent="0.25">
      <c r="C151" s="5"/>
      <c r="D151" s="2"/>
      <c r="E151" s="2"/>
      <c r="F151" s="2"/>
      <c r="G151" s="4"/>
    </row>
    <row r="152" spans="3:7" x14ac:dyDescent="0.25">
      <c r="C152" s="5"/>
      <c r="D152" s="2"/>
      <c r="E152" s="2"/>
      <c r="F152" s="2"/>
      <c r="G152" s="4"/>
    </row>
    <row r="153" spans="3:7" x14ac:dyDescent="0.25">
      <c r="C153" s="5"/>
      <c r="D153" s="2"/>
      <c r="E153" s="2"/>
      <c r="F153" s="2"/>
      <c r="G153" s="4"/>
    </row>
    <row r="154" spans="3:7" x14ac:dyDescent="0.25">
      <c r="C154" s="5"/>
      <c r="D154" s="2"/>
      <c r="E154" s="2"/>
      <c r="F154" s="2"/>
      <c r="G154" s="4"/>
    </row>
    <row r="155" spans="3:7" x14ac:dyDescent="0.25">
      <c r="C155" s="5"/>
      <c r="D155" s="2"/>
      <c r="E155" s="2"/>
      <c r="F155" s="2"/>
      <c r="G155" s="4"/>
    </row>
    <row r="156" spans="3:7" x14ac:dyDescent="0.25">
      <c r="C156" s="5"/>
      <c r="D156" s="2"/>
      <c r="E156" s="2"/>
      <c r="F156" s="2"/>
      <c r="G156" s="4"/>
    </row>
    <row r="157" spans="3:7" x14ac:dyDescent="0.25">
      <c r="C157" s="5"/>
      <c r="D157" s="2"/>
      <c r="E157" s="2"/>
      <c r="F157" s="2"/>
      <c r="G157" s="4"/>
    </row>
    <row r="158" spans="3:7" x14ac:dyDescent="0.25">
      <c r="C158" s="5"/>
      <c r="D158" s="2"/>
      <c r="E158" s="2"/>
      <c r="F158" s="2"/>
      <c r="G158" s="4"/>
    </row>
    <row r="159" spans="3:7" x14ac:dyDescent="0.25">
      <c r="C159" s="5"/>
      <c r="D159" s="2"/>
      <c r="E159" s="2"/>
      <c r="F159" s="2"/>
      <c r="G159" s="4"/>
    </row>
    <row r="160" spans="3:7" x14ac:dyDescent="0.25">
      <c r="C160" s="5"/>
      <c r="D160" s="2"/>
      <c r="E160" s="2"/>
      <c r="F160" s="2"/>
      <c r="G160" s="4"/>
    </row>
    <row r="161" spans="3:7" x14ac:dyDescent="0.25">
      <c r="C161" s="5"/>
      <c r="D161" s="2"/>
      <c r="E161" s="2"/>
      <c r="F161" s="2"/>
      <c r="G161" s="4"/>
    </row>
    <row r="162" spans="3:7" x14ac:dyDescent="0.25">
      <c r="C162" s="5"/>
      <c r="D162" s="2"/>
      <c r="E162" s="2"/>
      <c r="F162" s="2"/>
      <c r="G162" s="4"/>
    </row>
    <row r="163" spans="3:7" x14ac:dyDescent="0.25">
      <c r="C163" s="5"/>
      <c r="D163" s="2"/>
      <c r="E163" s="2"/>
      <c r="F163" s="2"/>
      <c r="G163" s="4"/>
    </row>
    <row r="164" spans="3:7" x14ac:dyDescent="0.25">
      <c r="C164" s="5"/>
      <c r="D164" s="2"/>
      <c r="E164" s="2"/>
      <c r="F164" s="2"/>
      <c r="G164" s="4"/>
    </row>
    <row r="165" spans="3:7" x14ac:dyDescent="0.25">
      <c r="C165" s="5"/>
      <c r="D165" s="2"/>
      <c r="E165" s="2"/>
      <c r="F165" s="2"/>
      <c r="G165" s="4"/>
    </row>
    <row r="166" spans="3:7" x14ac:dyDescent="0.25">
      <c r="C166" s="5"/>
      <c r="D166" s="2"/>
      <c r="E166" s="2"/>
      <c r="F166" s="2"/>
      <c r="G166" s="4"/>
    </row>
    <row r="167" spans="3:7" x14ac:dyDescent="0.25">
      <c r="C167" s="5"/>
      <c r="D167" s="2"/>
      <c r="E167" s="2"/>
      <c r="F167" s="2"/>
      <c r="G167" s="4"/>
    </row>
    <row r="168" spans="3:7" x14ac:dyDescent="0.25">
      <c r="C168" s="5"/>
      <c r="D168" s="2"/>
      <c r="E168" s="2"/>
      <c r="F168" s="2"/>
      <c r="G168" s="4"/>
    </row>
    <row r="169" spans="3:7" x14ac:dyDescent="0.25">
      <c r="C169" s="5"/>
      <c r="D169" s="2"/>
      <c r="E169" s="2"/>
      <c r="F169" s="2"/>
      <c r="G169" s="4"/>
    </row>
    <row r="170" spans="3:7" x14ac:dyDescent="0.25">
      <c r="C170" s="5"/>
      <c r="D170" s="2"/>
      <c r="E170" s="2"/>
      <c r="F170" s="2"/>
      <c r="G170" s="4"/>
    </row>
    <row r="171" spans="3:7" x14ac:dyDescent="0.25">
      <c r="C171" s="5"/>
      <c r="D171" s="2"/>
      <c r="E171" s="2"/>
      <c r="F171" s="2"/>
      <c r="G171" s="4"/>
    </row>
    <row r="172" spans="3:7" x14ac:dyDescent="0.25">
      <c r="C172" s="5"/>
      <c r="D172" s="2"/>
      <c r="E172" s="2"/>
      <c r="F172" s="2"/>
      <c r="G172" s="4"/>
    </row>
    <row r="173" spans="3:7" x14ac:dyDescent="0.25">
      <c r="C173" s="5"/>
      <c r="D173" s="2"/>
      <c r="E173" s="2"/>
      <c r="F173" s="2"/>
      <c r="G173" s="4"/>
    </row>
    <row r="174" spans="3:7" x14ac:dyDescent="0.25">
      <c r="C174" s="5"/>
      <c r="D174" s="2"/>
      <c r="E174" s="2"/>
      <c r="F174" s="2"/>
      <c r="G174" s="4"/>
    </row>
    <row r="175" spans="3:7" x14ac:dyDescent="0.25">
      <c r="C175" s="5"/>
      <c r="D175" s="2"/>
      <c r="E175" s="2"/>
      <c r="F175" s="2"/>
      <c r="G175" s="4"/>
    </row>
    <row r="176" spans="3:7" x14ac:dyDescent="0.25">
      <c r="C176" s="5"/>
      <c r="D176" s="2"/>
      <c r="E176" s="2"/>
      <c r="F176" s="2"/>
      <c r="G176" s="4"/>
    </row>
    <row r="177" spans="3:7" x14ac:dyDescent="0.25">
      <c r="C177" s="5"/>
      <c r="D177" s="2"/>
      <c r="E177" s="2"/>
      <c r="F177" s="2"/>
      <c r="G177" s="4"/>
    </row>
    <row r="178" spans="3:7" x14ac:dyDescent="0.25">
      <c r="C178" s="5"/>
      <c r="D178" s="2"/>
      <c r="E178" s="2"/>
      <c r="F178" s="2"/>
      <c r="G178" s="4"/>
    </row>
    <row r="179" spans="3:7" x14ac:dyDescent="0.25">
      <c r="C179" s="5"/>
      <c r="D179" s="2"/>
      <c r="E179" s="2"/>
      <c r="F179" s="2"/>
      <c r="G179" s="4"/>
    </row>
    <row r="180" spans="3:7" x14ac:dyDescent="0.25">
      <c r="C180" s="5"/>
      <c r="D180" s="2"/>
      <c r="E180" s="2"/>
      <c r="F180" s="2"/>
      <c r="G180" s="4"/>
    </row>
    <row r="181" spans="3:7" x14ac:dyDescent="0.25">
      <c r="C181" s="5"/>
      <c r="D181" s="2"/>
      <c r="E181" s="2"/>
      <c r="F181" s="2"/>
      <c r="G181" s="4"/>
    </row>
    <row r="182" spans="3:7" x14ac:dyDescent="0.25">
      <c r="C182" s="5"/>
      <c r="D182" s="2"/>
      <c r="E182" s="2"/>
      <c r="F182" s="2"/>
      <c r="G182" s="4"/>
    </row>
    <row r="183" spans="3:7" x14ac:dyDescent="0.25">
      <c r="C183" s="5"/>
      <c r="D183" s="2"/>
      <c r="E183" s="2"/>
      <c r="F183" s="2"/>
      <c r="G183" s="4"/>
    </row>
    <row r="184" spans="3:7" x14ac:dyDescent="0.25">
      <c r="C184" s="5"/>
      <c r="D184" s="2"/>
      <c r="E184" s="2"/>
      <c r="F184" s="2"/>
      <c r="G184" s="4"/>
    </row>
    <row r="185" spans="3:7" x14ac:dyDescent="0.25">
      <c r="C185" s="5"/>
      <c r="D185" s="2"/>
      <c r="E185" s="2"/>
      <c r="F185" s="2"/>
      <c r="G185" s="4"/>
    </row>
    <row r="186" spans="3:7" x14ac:dyDescent="0.25">
      <c r="C186" s="5"/>
      <c r="D186" s="2"/>
      <c r="E186" s="2"/>
      <c r="F186" s="2"/>
      <c r="G186" s="4"/>
    </row>
    <row r="187" spans="3:7" x14ac:dyDescent="0.25">
      <c r="C187" s="5"/>
      <c r="D187" s="2"/>
      <c r="E187" s="2"/>
      <c r="F187" s="2"/>
      <c r="G187" s="4"/>
    </row>
    <row r="188" spans="3:7" x14ac:dyDescent="0.25">
      <c r="C188" s="5"/>
      <c r="D188" s="2"/>
      <c r="E188" s="2"/>
      <c r="F188" s="2"/>
      <c r="G188" s="4"/>
    </row>
    <row r="189" spans="3:7" x14ac:dyDescent="0.25">
      <c r="C189" s="5"/>
      <c r="D189" s="2"/>
      <c r="E189" s="2"/>
      <c r="F189" s="2"/>
      <c r="G189" s="4"/>
    </row>
    <row r="190" spans="3:7" x14ac:dyDescent="0.25">
      <c r="C190" s="5"/>
      <c r="D190" s="2"/>
      <c r="E190" s="2"/>
      <c r="F190" s="2"/>
      <c r="G190" s="4"/>
    </row>
    <row r="191" spans="3:7" x14ac:dyDescent="0.25">
      <c r="C191" s="5"/>
      <c r="D191" s="2"/>
      <c r="E191" s="2"/>
      <c r="F191" s="2"/>
      <c r="G191" s="4"/>
    </row>
    <row r="192" spans="3:7" x14ac:dyDescent="0.25">
      <c r="C192" s="5"/>
      <c r="D192" s="2"/>
      <c r="E192" s="2"/>
      <c r="F192" s="2"/>
      <c r="G192" s="4"/>
    </row>
    <row r="193" spans="3:7" x14ac:dyDescent="0.25">
      <c r="C193" s="5"/>
      <c r="D193" s="2"/>
      <c r="E193" s="2"/>
      <c r="F193" s="2"/>
      <c r="G193" s="4"/>
    </row>
    <row r="194" spans="3:7" x14ac:dyDescent="0.25">
      <c r="C194" s="5"/>
      <c r="D194" s="2"/>
      <c r="E194" s="2"/>
      <c r="F194" s="2"/>
      <c r="G194" s="4"/>
    </row>
    <row r="195" spans="3:7" x14ac:dyDescent="0.25">
      <c r="C195" s="5"/>
      <c r="D195" s="2"/>
      <c r="E195" s="2"/>
      <c r="F195" s="2"/>
      <c r="G195" s="4"/>
    </row>
    <row r="196" spans="3:7" x14ac:dyDescent="0.25">
      <c r="C196" s="5"/>
      <c r="D196" s="2"/>
      <c r="E196" s="2"/>
      <c r="F196" s="2"/>
      <c r="G196" s="4"/>
    </row>
    <row r="197" spans="3:7" x14ac:dyDescent="0.25">
      <c r="C197" s="5"/>
      <c r="D197" s="2"/>
      <c r="E197" s="2"/>
      <c r="F197" s="2"/>
      <c r="G197" s="4"/>
    </row>
    <row r="198" spans="3:7" x14ac:dyDescent="0.25">
      <c r="C198" s="5"/>
      <c r="D198" s="2"/>
      <c r="E198" s="2"/>
      <c r="F198" s="2"/>
      <c r="G198" s="4"/>
    </row>
    <row r="199" spans="3:7" x14ac:dyDescent="0.25">
      <c r="C199" s="5"/>
      <c r="D199" s="2"/>
      <c r="E199" s="2"/>
      <c r="F199" s="2"/>
      <c r="G199" s="4"/>
    </row>
    <row r="200" spans="3:7" x14ac:dyDescent="0.25">
      <c r="C200" s="5"/>
      <c r="D200" s="2"/>
      <c r="E200" s="2"/>
      <c r="F200" s="2"/>
      <c r="G200" s="4"/>
    </row>
    <row r="201" spans="3:7" x14ac:dyDescent="0.25">
      <c r="C201" s="5"/>
      <c r="D201" s="2"/>
      <c r="E201" s="2"/>
      <c r="F201" s="2"/>
      <c r="G201" s="4"/>
    </row>
    <row r="202" spans="3:7" x14ac:dyDescent="0.25">
      <c r="C202" s="5"/>
      <c r="D202" s="2"/>
      <c r="E202" s="2"/>
      <c r="F202" s="2"/>
      <c r="G202" s="4"/>
    </row>
    <row r="203" spans="3:7" x14ac:dyDescent="0.25">
      <c r="C203" s="5"/>
      <c r="D203" s="2"/>
      <c r="E203" s="2"/>
      <c r="F203" s="2"/>
      <c r="G203" s="4"/>
    </row>
    <row r="204" spans="3:7" x14ac:dyDescent="0.25">
      <c r="C204" s="5"/>
      <c r="D204" s="2"/>
      <c r="E204" s="2"/>
      <c r="F204" s="2"/>
      <c r="G204" s="4"/>
    </row>
    <row r="205" spans="3:7" x14ac:dyDescent="0.25">
      <c r="C205" s="5"/>
      <c r="D205" s="2"/>
      <c r="E205" s="2"/>
      <c r="F205" s="2"/>
      <c r="G205" s="4"/>
    </row>
    <row r="206" spans="3:7" x14ac:dyDescent="0.25">
      <c r="C206" s="5"/>
      <c r="D206" s="2"/>
      <c r="E206" s="2"/>
      <c r="F206" s="2"/>
      <c r="G206" s="4"/>
    </row>
    <row r="207" spans="3:7" x14ac:dyDescent="0.25">
      <c r="C207" s="5"/>
      <c r="D207" s="2"/>
      <c r="E207" s="2"/>
      <c r="F207" s="2"/>
      <c r="G207" s="4"/>
    </row>
    <row r="208" spans="3:7" x14ac:dyDescent="0.25">
      <c r="C208" s="5"/>
      <c r="D208" s="2"/>
      <c r="E208" s="2"/>
      <c r="F208" s="2"/>
      <c r="G208" s="4"/>
    </row>
    <row r="209" spans="3:7" x14ac:dyDescent="0.25">
      <c r="C209" s="5"/>
      <c r="D209" s="2"/>
      <c r="E209" s="2"/>
      <c r="F209" s="2"/>
      <c r="G209" s="4"/>
    </row>
    <row r="210" spans="3:7" x14ac:dyDescent="0.25">
      <c r="C210" s="5"/>
      <c r="D210" s="2"/>
      <c r="E210" s="2"/>
      <c r="F210" s="2"/>
      <c r="G210" s="4"/>
    </row>
    <row r="211" spans="3:7" x14ac:dyDescent="0.25">
      <c r="C211" s="5"/>
      <c r="D211" s="2"/>
      <c r="E211" s="2"/>
      <c r="F211" s="2"/>
      <c r="G211" s="4"/>
    </row>
    <row r="212" spans="3:7" x14ac:dyDescent="0.25">
      <c r="C212" s="5"/>
      <c r="D212" s="2"/>
      <c r="E212" s="2"/>
      <c r="F212" s="2"/>
      <c r="G212" s="4"/>
    </row>
    <row r="213" spans="3:7" x14ac:dyDescent="0.25">
      <c r="C213" s="5"/>
      <c r="D213" s="2"/>
      <c r="E213" s="2"/>
      <c r="F213" s="2"/>
      <c r="G213" s="4"/>
    </row>
    <row r="214" spans="3:7" x14ac:dyDescent="0.25">
      <c r="C214" s="5"/>
      <c r="D214" s="2"/>
      <c r="E214" s="2"/>
      <c r="F214" s="2"/>
      <c r="G214" s="4"/>
    </row>
    <row r="215" spans="3:7" x14ac:dyDescent="0.25">
      <c r="C215" s="5"/>
      <c r="D215" s="2"/>
      <c r="E215" s="2"/>
      <c r="F215" s="2"/>
      <c r="G215" s="4"/>
    </row>
    <row r="216" spans="3:7" x14ac:dyDescent="0.25">
      <c r="C216" s="5"/>
      <c r="D216" s="2"/>
      <c r="E216" s="2"/>
      <c r="F216" s="2"/>
      <c r="G216" s="4"/>
    </row>
    <row r="217" spans="3:7" x14ac:dyDescent="0.25">
      <c r="C217" s="5"/>
      <c r="D217" s="2"/>
      <c r="E217" s="2"/>
      <c r="F217" s="2"/>
      <c r="G217" s="4"/>
    </row>
    <row r="218" spans="3:7" x14ac:dyDescent="0.25">
      <c r="C218" s="5"/>
      <c r="D218" s="2"/>
      <c r="E218" s="2"/>
      <c r="F218" s="2"/>
      <c r="G218" s="4"/>
    </row>
    <row r="219" spans="3:7" x14ac:dyDescent="0.25">
      <c r="C219" s="5"/>
      <c r="D219" s="2"/>
      <c r="E219" s="2"/>
      <c r="F219" s="2"/>
      <c r="G219" s="4"/>
    </row>
    <row r="220" spans="3:7" x14ac:dyDescent="0.25">
      <c r="C220" s="5"/>
      <c r="D220" s="2"/>
      <c r="E220" s="2"/>
      <c r="F220" s="2"/>
      <c r="G220" s="4"/>
    </row>
    <row r="221" spans="3:7" x14ac:dyDescent="0.25">
      <c r="C221" s="5"/>
      <c r="D221" s="2"/>
      <c r="E221" s="2"/>
      <c r="F221" s="2"/>
      <c r="G221" s="4"/>
    </row>
    <row r="222" spans="3:7" x14ac:dyDescent="0.25">
      <c r="C222" s="5"/>
      <c r="D222" s="2"/>
      <c r="E222" s="2"/>
      <c r="F222" s="2"/>
      <c r="G222" s="4"/>
    </row>
    <row r="223" spans="3:7" x14ac:dyDescent="0.25">
      <c r="C223" s="5"/>
      <c r="D223" s="2"/>
      <c r="E223" s="2"/>
      <c r="F223" s="2"/>
      <c r="G223" s="4"/>
    </row>
    <row r="224" spans="3:7" x14ac:dyDescent="0.25">
      <c r="C224" s="5"/>
      <c r="D224" s="2"/>
      <c r="E224" s="2"/>
      <c r="F224" s="2"/>
      <c r="G224" s="4"/>
    </row>
    <row r="225" spans="3:7" x14ac:dyDescent="0.25">
      <c r="C225" s="5"/>
      <c r="D225" s="2"/>
      <c r="E225" s="2"/>
      <c r="F225" s="2"/>
      <c r="G225" s="4"/>
    </row>
    <row r="226" spans="3:7" x14ac:dyDescent="0.25">
      <c r="C226" s="5"/>
      <c r="D226" s="2"/>
      <c r="E226" s="2"/>
      <c r="F226" s="2"/>
      <c r="G226" s="4"/>
    </row>
    <row r="227" spans="3:7" x14ac:dyDescent="0.25">
      <c r="C227" s="5"/>
      <c r="D227" s="2"/>
      <c r="E227" s="2"/>
      <c r="F227" s="2"/>
      <c r="G227" s="4"/>
    </row>
    <row r="228" spans="3:7" x14ac:dyDescent="0.25">
      <c r="C228" s="5"/>
      <c r="D228" s="2"/>
      <c r="E228" s="2"/>
      <c r="F228" s="2"/>
      <c r="G228" s="4"/>
    </row>
    <row r="229" spans="3:7" x14ac:dyDescent="0.25">
      <c r="C229" s="5"/>
      <c r="D229" s="2"/>
      <c r="E229" s="2"/>
      <c r="F229" s="2"/>
      <c r="G229" s="4"/>
    </row>
    <row r="230" spans="3:7" x14ac:dyDescent="0.25">
      <c r="C230" s="5"/>
      <c r="D230" s="2"/>
      <c r="E230" s="2"/>
      <c r="F230" s="2"/>
      <c r="G230" s="4"/>
    </row>
    <row r="231" spans="3:7" x14ac:dyDescent="0.25">
      <c r="C231" s="5"/>
      <c r="D231" s="2"/>
      <c r="E231" s="2"/>
      <c r="F231" s="2"/>
      <c r="G231" s="4"/>
    </row>
    <row r="232" spans="3:7" x14ac:dyDescent="0.25">
      <c r="C232" s="5"/>
      <c r="D232" s="2"/>
      <c r="E232" s="2"/>
      <c r="F232" s="2"/>
      <c r="G232" s="4"/>
    </row>
    <row r="233" spans="3:7" x14ac:dyDescent="0.25">
      <c r="C233" s="5"/>
      <c r="D233" s="2"/>
      <c r="E233" s="2"/>
      <c r="F233" s="2"/>
      <c r="G233" s="4"/>
    </row>
    <row r="234" spans="3:7" x14ac:dyDescent="0.25">
      <c r="C234" s="5"/>
      <c r="D234" s="2"/>
      <c r="E234" s="2"/>
      <c r="F234" s="2"/>
      <c r="G234" s="4"/>
    </row>
    <row r="235" spans="3:7" x14ac:dyDescent="0.25">
      <c r="C235" s="5"/>
      <c r="D235" s="2"/>
      <c r="E235" s="2"/>
      <c r="F235" s="2"/>
      <c r="G235" s="4"/>
    </row>
    <row r="236" spans="3:7" x14ac:dyDescent="0.25">
      <c r="C236" s="5"/>
      <c r="D236" s="2"/>
      <c r="E236" s="2"/>
      <c r="F236" s="2"/>
      <c r="G236" s="4"/>
    </row>
    <row r="237" spans="3:7" x14ac:dyDescent="0.25">
      <c r="C237" s="5"/>
      <c r="D237" s="2"/>
      <c r="E237" s="2"/>
      <c r="F237" s="2"/>
      <c r="G237" s="4"/>
    </row>
    <row r="238" spans="3:7" x14ac:dyDescent="0.25">
      <c r="C238" s="5"/>
      <c r="D238" s="2"/>
      <c r="E238" s="2"/>
      <c r="F238" s="2"/>
      <c r="G238" s="4"/>
    </row>
    <row r="239" spans="3:7" x14ac:dyDescent="0.25">
      <c r="C239" s="5"/>
      <c r="D239" s="2"/>
      <c r="E239" s="2"/>
      <c r="F239" s="2"/>
      <c r="G239" s="4"/>
    </row>
    <row r="240" spans="3:7" x14ac:dyDescent="0.25">
      <c r="C240" s="5"/>
      <c r="D240" s="2"/>
      <c r="E240" s="2"/>
      <c r="F240" s="2"/>
      <c r="G240" s="4"/>
    </row>
    <row r="241" spans="3:7" x14ac:dyDescent="0.25">
      <c r="C241" s="5"/>
      <c r="D241" s="2"/>
      <c r="E241" s="2"/>
      <c r="F241" s="2"/>
      <c r="G241" s="4"/>
    </row>
    <row r="242" spans="3:7" x14ac:dyDescent="0.25">
      <c r="C242" s="5"/>
      <c r="D242" s="2"/>
      <c r="E242" s="2"/>
      <c r="F242" s="2"/>
      <c r="G242" s="4"/>
    </row>
    <row r="243" spans="3:7" x14ac:dyDescent="0.25">
      <c r="C243" s="5"/>
      <c r="D243" s="2"/>
      <c r="E243" s="2"/>
      <c r="F243" s="2"/>
      <c r="G243" s="4"/>
    </row>
    <row r="244" spans="3:7" x14ac:dyDescent="0.25">
      <c r="C244" s="5"/>
      <c r="D244" s="2"/>
      <c r="E244" s="2"/>
      <c r="F244" s="2"/>
      <c r="G244" s="4"/>
    </row>
    <row r="245" spans="3:7" x14ac:dyDescent="0.25">
      <c r="C245" s="5"/>
      <c r="D245" s="2"/>
      <c r="E245" s="2"/>
      <c r="F245" s="2"/>
      <c r="G245" s="4"/>
    </row>
    <row r="246" spans="3:7" x14ac:dyDescent="0.25">
      <c r="C246" s="5"/>
      <c r="D246" s="2"/>
      <c r="E246" s="2"/>
      <c r="F246" s="2"/>
      <c r="G246" s="4"/>
    </row>
    <row r="247" spans="3:7" x14ac:dyDescent="0.25">
      <c r="C247" s="5"/>
      <c r="D247" s="2"/>
      <c r="E247" s="2"/>
      <c r="F247" s="2"/>
      <c r="G247" s="4"/>
    </row>
    <row r="248" spans="3:7" x14ac:dyDescent="0.25">
      <c r="C248" s="5"/>
      <c r="D248" s="2"/>
      <c r="E248" s="2"/>
      <c r="F248" s="2"/>
      <c r="G248" s="4"/>
    </row>
    <row r="249" spans="3:7" x14ac:dyDescent="0.25">
      <c r="C249" s="5"/>
      <c r="D249" s="2"/>
      <c r="E249" s="2"/>
      <c r="F249" s="2"/>
      <c r="G249" s="4"/>
    </row>
    <row r="250" spans="3:7" x14ac:dyDescent="0.25">
      <c r="C250" s="5"/>
      <c r="D250" s="2"/>
      <c r="E250" s="2"/>
      <c r="F250" s="2"/>
      <c r="G250" s="4"/>
    </row>
    <row r="251" spans="3:7" x14ac:dyDescent="0.25">
      <c r="C251" s="5"/>
      <c r="D251" s="2"/>
      <c r="E251" s="2"/>
      <c r="F251" s="2"/>
      <c r="G251" s="4"/>
    </row>
    <row r="252" spans="3:7" x14ac:dyDescent="0.25">
      <c r="C252" s="5"/>
      <c r="D252" s="2"/>
      <c r="E252" s="2"/>
      <c r="F252" s="2"/>
      <c r="G252" s="4"/>
    </row>
    <row r="253" spans="3:7" x14ac:dyDescent="0.25">
      <c r="C253" s="5"/>
      <c r="D253" s="2"/>
      <c r="E253" s="2"/>
      <c r="F253" s="2"/>
      <c r="G253" s="4"/>
    </row>
    <row r="254" spans="3:7" x14ac:dyDescent="0.25">
      <c r="C254" s="5"/>
      <c r="D254" s="2"/>
      <c r="E254" s="2"/>
      <c r="F254" s="2"/>
      <c r="G254" s="4"/>
    </row>
    <row r="255" spans="3:7" x14ac:dyDescent="0.25">
      <c r="C255" s="5"/>
      <c r="D255" s="2"/>
      <c r="E255" s="2"/>
      <c r="F255" s="2"/>
      <c r="G255" s="4"/>
    </row>
    <row r="256" spans="3:7" x14ac:dyDescent="0.25">
      <c r="C256" s="5"/>
      <c r="D256" s="2"/>
      <c r="E256" s="2"/>
      <c r="F256" s="2"/>
      <c r="G256" s="4"/>
    </row>
    <row r="257" spans="3:7" x14ac:dyDescent="0.25">
      <c r="C257" s="5"/>
      <c r="D257" s="2"/>
      <c r="E257" s="2"/>
      <c r="F257" s="2"/>
      <c r="G257" s="4"/>
    </row>
    <row r="258" spans="3:7" x14ac:dyDescent="0.25">
      <c r="C258" s="5"/>
      <c r="D258" s="2"/>
      <c r="E258" s="2"/>
      <c r="F258" s="2"/>
      <c r="G258" s="4"/>
    </row>
    <row r="259" spans="3:7" x14ac:dyDescent="0.25">
      <c r="C259" s="5"/>
      <c r="D259" s="2"/>
      <c r="E259" s="2"/>
      <c r="F259" s="2"/>
      <c r="G259" s="4"/>
    </row>
    <row r="260" spans="3:7" x14ac:dyDescent="0.25">
      <c r="C260" s="5"/>
      <c r="D260" s="2"/>
      <c r="E260" s="2"/>
      <c r="F260" s="2"/>
      <c r="G260" s="4"/>
    </row>
    <row r="261" spans="3:7" x14ac:dyDescent="0.25">
      <c r="C261" s="5"/>
      <c r="D261" s="2"/>
      <c r="E261" s="2"/>
      <c r="F261" s="2"/>
      <c r="G261" s="4"/>
    </row>
    <row r="262" spans="3:7" x14ac:dyDescent="0.25">
      <c r="C262" s="5"/>
      <c r="D262" s="2"/>
      <c r="E262" s="2"/>
      <c r="F262" s="2"/>
      <c r="G262" s="4"/>
    </row>
    <row r="263" spans="3:7" x14ac:dyDescent="0.25">
      <c r="C263" s="5"/>
      <c r="D263" s="2"/>
      <c r="E263" s="2"/>
      <c r="F263" s="2"/>
      <c r="G263" s="4"/>
    </row>
    <row r="264" spans="3:7" x14ac:dyDescent="0.25">
      <c r="C264" s="5"/>
      <c r="D264" s="2"/>
      <c r="E264" s="2"/>
      <c r="F264" s="2"/>
      <c r="G264" s="4"/>
    </row>
    <row r="265" spans="3:7" x14ac:dyDescent="0.25">
      <c r="C265" s="5"/>
      <c r="D265" s="2"/>
      <c r="E265" s="2"/>
      <c r="F265" s="2"/>
      <c r="G265" s="4"/>
    </row>
    <row r="266" spans="3:7" x14ac:dyDescent="0.25">
      <c r="C266" s="5"/>
      <c r="D266" s="2"/>
      <c r="E266" s="2"/>
      <c r="F266" s="2"/>
      <c r="G266" s="4"/>
    </row>
    <row r="267" spans="3:7" x14ac:dyDescent="0.25">
      <c r="C267" s="5"/>
      <c r="D267" s="2"/>
      <c r="E267" s="2"/>
      <c r="F267" s="2"/>
      <c r="G267" s="4"/>
    </row>
    <row r="268" spans="3:7" x14ac:dyDescent="0.25">
      <c r="C268" s="5"/>
      <c r="D268" s="2"/>
      <c r="E268" s="2"/>
      <c r="F268" s="2"/>
      <c r="G268" s="4"/>
    </row>
    <row r="269" spans="3:7" x14ac:dyDescent="0.25">
      <c r="C269" s="5"/>
      <c r="D269" s="2"/>
      <c r="E269" s="2"/>
      <c r="F269" s="2"/>
      <c r="G269" s="4"/>
    </row>
    <row r="270" spans="3:7" x14ac:dyDescent="0.25">
      <c r="C270" s="5"/>
      <c r="D270" s="2"/>
      <c r="E270" s="2"/>
      <c r="F270" s="2"/>
      <c r="G270" s="4"/>
    </row>
    <row r="271" spans="3:7" x14ac:dyDescent="0.25">
      <c r="C271" s="5"/>
      <c r="D271" s="2"/>
      <c r="E271" s="2"/>
      <c r="F271" s="2"/>
      <c r="G271" s="4"/>
    </row>
    <row r="272" spans="3:7" x14ac:dyDescent="0.25">
      <c r="C272" s="5"/>
      <c r="D272" s="2"/>
      <c r="E272" s="2"/>
      <c r="F272" s="2"/>
      <c r="G272" s="4"/>
    </row>
    <row r="273" spans="3:7" x14ac:dyDescent="0.25">
      <c r="C273" s="5"/>
      <c r="D273" s="2"/>
      <c r="E273" s="2"/>
      <c r="F273" s="2"/>
      <c r="G273" s="4"/>
    </row>
    <row r="274" spans="3:7" x14ac:dyDescent="0.25">
      <c r="C274" s="5"/>
      <c r="D274" s="2"/>
      <c r="E274" s="2"/>
      <c r="F274" s="2"/>
      <c r="G274" s="4"/>
    </row>
    <row r="275" spans="3:7" x14ac:dyDescent="0.25">
      <c r="C275" s="5"/>
      <c r="D275" s="2"/>
      <c r="E275" s="2"/>
      <c r="F275" s="2"/>
      <c r="G275" s="4"/>
    </row>
    <row r="276" spans="3:7" x14ac:dyDescent="0.25">
      <c r="C276" s="5"/>
      <c r="D276" s="2"/>
      <c r="E276" s="2"/>
      <c r="F276" s="2"/>
      <c r="G276" s="4"/>
    </row>
    <row r="277" spans="3:7" x14ac:dyDescent="0.25">
      <c r="C277" s="5"/>
      <c r="D277" s="2"/>
      <c r="E277" s="2"/>
      <c r="F277" s="2"/>
      <c r="G277" s="4"/>
    </row>
    <row r="278" spans="3:7" x14ac:dyDescent="0.25">
      <c r="C278" s="5"/>
      <c r="D278" s="2"/>
      <c r="E278" s="2"/>
      <c r="F278" s="2"/>
      <c r="G278" s="4"/>
    </row>
    <row r="279" spans="3:7" x14ac:dyDescent="0.25">
      <c r="C279" s="5"/>
      <c r="D279" s="2"/>
      <c r="E279" s="2"/>
      <c r="F279" s="2"/>
      <c r="G279" s="4"/>
    </row>
    <row r="280" spans="3:7" x14ac:dyDescent="0.25">
      <c r="C280" s="5"/>
      <c r="D280" s="2"/>
      <c r="E280" s="2"/>
      <c r="F280" s="2"/>
      <c r="G280" s="4"/>
    </row>
    <row r="281" spans="3:7" x14ac:dyDescent="0.25">
      <c r="C281" s="5"/>
      <c r="D281" s="2"/>
      <c r="E281" s="2"/>
      <c r="F281" s="2"/>
      <c r="G281" s="4"/>
    </row>
    <row r="282" spans="3:7" x14ac:dyDescent="0.25">
      <c r="C282" s="5"/>
      <c r="D282" s="2"/>
      <c r="E282" s="2"/>
      <c r="F282" s="2"/>
      <c r="G282" s="4"/>
    </row>
    <row r="283" spans="3:7" x14ac:dyDescent="0.25">
      <c r="C283" s="5"/>
      <c r="D283" s="2"/>
      <c r="E283" s="2"/>
      <c r="F283" s="2"/>
      <c r="G283" s="4"/>
    </row>
    <row r="284" spans="3:7" x14ac:dyDescent="0.25">
      <c r="C284" s="5"/>
      <c r="D284" s="2"/>
      <c r="E284" s="2"/>
      <c r="F284" s="2"/>
      <c r="G284" s="4"/>
    </row>
    <row r="285" spans="3:7" x14ac:dyDescent="0.25">
      <c r="C285" s="5"/>
      <c r="D285" s="2"/>
      <c r="E285" s="2"/>
      <c r="F285" s="2"/>
      <c r="G285" s="4"/>
    </row>
    <row r="286" spans="3:7" x14ac:dyDescent="0.25">
      <c r="C286" s="5"/>
      <c r="D286" s="2"/>
      <c r="E286" s="2"/>
      <c r="F286" s="2"/>
      <c r="G286" s="4"/>
    </row>
    <row r="287" spans="3:7" x14ac:dyDescent="0.25">
      <c r="C287" s="5"/>
      <c r="D287" s="2"/>
      <c r="E287" s="2"/>
      <c r="F287" s="2"/>
      <c r="G287" s="4"/>
    </row>
    <row r="288" spans="3:7" x14ac:dyDescent="0.25">
      <c r="C288" s="5"/>
      <c r="D288" s="2"/>
      <c r="E288" s="2"/>
      <c r="F288" s="2"/>
      <c r="G288" s="4"/>
    </row>
    <row r="289" spans="3:7" x14ac:dyDescent="0.25">
      <c r="C289" s="5"/>
      <c r="D289" s="2"/>
      <c r="E289" s="2"/>
      <c r="F289" s="2"/>
      <c r="G289" s="4"/>
    </row>
    <row r="290" spans="3:7" x14ac:dyDescent="0.25">
      <c r="C290" s="5"/>
      <c r="D290" s="2"/>
      <c r="E290" s="2"/>
      <c r="F290" s="2"/>
      <c r="G290" s="4"/>
    </row>
    <row r="291" spans="3:7" x14ac:dyDescent="0.25">
      <c r="C291" s="5"/>
      <c r="D291" s="2"/>
      <c r="E291" s="2"/>
      <c r="F291" s="2"/>
      <c r="G291" s="4"/>
    </row>
    <row r="292" spans="3:7" x14ac:dyDescent="0.25">
      <c r="C292" s="5"/>
      <c r="D292" s="2"/>
      <c r="E292" s="2"/>
      <c r="F292" s="2"/>
      <c r="G292" s="4"/>
    </row>
    <row r="293" spans="3:7" x14ac:dyDescent="0.25">
      <c r="C293" s="5"/>
      <c r="D293" s="2"/>
      <c r="E293" s="2"/>
      <c r="F293" s="2"/>
      <c r="G293" s="4"/>
    </row>
    <row r="294" spans="3:7" x14ac:dyDescent="0.25">
      <c r="C294" s="5"/>
      <c r="D294" s="2"/>
      <c r="E294" s="2"/>
      <c r="F294" s="2"/>
      <c r="G294" s="4"/>
    </row>
    <row r="295" spans="3:7" x14ac:dyDescent="0.25">
      <c r="C295" s="5"/>
      <c r="D295" s="2"/>
      <c r="E295" s="2"/>
      <c r="F295" s="2"/>
      <c r="G295" s="4"/>
    </row>
    <row r="296" spans="3:7" x14ac:dyDescent="0.25">
      <c r="C296" s="5"/>
      <c r="D296" s="2"/>
      <c r="E296" s="2"/>
      <c r="F296" s="2"/>
      <c r="G296" s="4"/>
    </row>
    <row r="297" spans="3:7" x14ac:dyDescent="0.25">
      <c r="C297" s="5"/>
      <c r="D297" s="2"/>
      <c r="E297" s="2"/>
      <c r="F297" s="2"/>
      <c r="G297" s="4"/>
    </row>
    <row r="298" spans="3:7" x14ac:dyDescent="0.25">
      <c r="C298" s="5"/>
      <c r="D298" s="2"/>
      <c r="E298" s="2"/>
      <c r="F298" s="2"/>
      <c r="G298" s="4"/>
    </row>
    <row r="299" spans="3:7" x14ac:dyDescent="0.25">
      <c r="C299" s="5"/>
      <c r="D299" s="2"/>
      <c r="E299" s="2"/>
      <c r="F299" s="2"/>
      <c r="G299" s="4"/>
    </row>
    <row r="300" spans="3:7" x14ac:dyDescent="0.25">
      <c r="C300" s="5"/>
      <c r="D300" s="2"/>
      <c r="E300" s="2"/>
      <c r="F300" s="2"/>
      <c r="G300" s="4"/>
    </row>
    <row r="301" spans="3:7" x14ac:dyDescent="0.25">
      <c r="C301" s="5"/>
      <c r="D301" s="2"/>
      <c r="E301" s="2"/>
      <c r="F301" s="2"/>
      <c r="G301" s="4"/>
    </row>
    <row r="302" spans="3:7" x14ac:dyDescent="0.25">
      <c r="C302" s="5"/>
      <c r="D302" s="2"/>
      <c r="E302" s="2"/>
      <c r="F302" s="2"/>
      <c r="G302" s="4"/>
    </row>
    <row r="303" spans="3:7" x14ac:dyDescent="0.25">
      <c r="C303" s="5"/>
      <c r="D303" s="2"/>
      <c r="E303" s="2"/>
      <c r="F303" s="2"/>
      <c r="G303" s="4"/>
    </row>
    <row r="304" spans="3:7" x14ac:dyDescent="0.25">
      <c r="C304" s="5"/>
      <c r="D304" s="2"/>
      <c r="E304" s="2"/>
      <c r="F304" s="2"/>
      <c r="G304" s="4"/>
    </row>
    <row r="305" spans="3:7" x14ac:dyDescent="0.25">
      <c r="C305" s="5"/>
      <c r="D305" s="2"/>
      <c r="E305" s="2"/>
      <c r="F305" s="2"/>
      <c r="G305" s="4"/>
    </row>
    <row r="306" spans="3:7" x14ac:dyDescent="0.25">
      <c r="C306" s="5"/>
      <c r="D306" s="2"/>
      <c r="E306" s="2"/>
      <c r="F306" s="2"/>
      <c r="G306" s="4"/>
    </row>
    <row r="307" spans="3:7" x14ac:dyDescent="0.25">
      <c r="C307" s="5"/>
      <c r="D307" s="2"/>
      <c r="E307" s="2"/>
      <c r="F307" s="2"/>
      <c r="G307" s="4"/>
    </row>
    <row r="308" spans="3:7" x14ac:dyDescent="0.25">
      <c r="C308" s="5"/>
      <c r="D308" s="2"/>
      <c r="E308" s="2"/>
      <c r="F308" s="2"/>
      <c r="G308" s="4"/>
    </row>
    <row r="309" spans="3:7" x14ac:dyDescent="0.25">
      <c r="C309" s="5"/>
      <c r="D309" s="2"/>
      <c r="E309" s="2"/>
      <c r="F309" s="2"/>
      <c r="G309" s="4"/>
    </row>
    <row r="310" spans="3:7" x14ac:dyDescent="0.25">
      <c r="C310" s="5"/>
      <c r="D310" s="2"/>
      <c r="E310" s="2"/>
      <c r="F310" s="2"/>
      <c r="G310" s="4"/>
    </row>
    <row r="311" spans="3:7" x14ac:dyDescent="0.25">
      <c r="C311" s="5"/>
      <c r="D311" s="2"/>
      <c r="E311" s="2"/>
      <c r="F311" s="2"/>
      <c r="G311" s="4"/>
    </row>
    <row r="312" spans="3:7" x14ac:dyDescent="0.25">
      <c r="C312" s="5"/>
      <c r="D312" s="2"/>
      <c r="E312" s="2"/>
      <c r="F312" s="2"/>
      <c r="G312" s="4"/>
    </row>
    <row r="313" spans="3:7" x14ac:dyDescent="0.25">
      <c r="C313" s="5"/>
      <c r="D313" s="2"/>
      <c r="E313" s="2"/>
      <c r="F313" s="2"/>
      <c r="G313" s="4"/>
    </row>
    <row r="314" spans="3:7" x14ac:dyDescent="0.25">
      <c r="C314" s="5"/>
      <c r="D314" s="2"/>
      <c r="E314" s="2"/>
      <c r="F314" s="2"/>
      <c r="G314" s="4"/>
    </row>
    <row r="315" spans="3:7" x14ac:dyDescent="0.25">
      <c r="C315" s="5"/>
      <c r="D315" s="2"/>
      <c r="E315" s="2"/>
      <c r="F315" s="2"/>
      <c r="G315" s="4"/>
    </row>
    <row r="316" spans="3:7" x14ac:dyDescent="0.25">
      <c r="C316" s="5"/>
      <c r="D316" s="2"/>
      <c r="E316" s="2"/>
      <c r="F316" s="2"/>
      <c r="G316" s="4"/>
    </row>
    <row r="317" spans="3:7" x14ac:dyDescent="0.25">
      <c r="C317" s="5"/>
      <c r="D317" s="2"/>
      <c r="E317" s="2"/>
      <c r="F317" s="2"/>
      <c r="G317" s="4"/>
    </row>
    <row r="318" spans="3:7" x14ac:dyDescent="0.25">
      <c r="C318" s="5"/>
      <c r="D318" s="2"/>
      <c r="E318" s="2"/>
      <c r="F318" s="2"/>
      <c r="G318" s="4"/>
    </row>
    <row r="319" spans="3:7" x14ac:dyDescent="0.25">
      <c r="C319" s="5"/>
      <c r="D319" s="2"/>
      <c r="E319" s="2"/>
      <c r="F319" s="2"/>
      <c r="G319" s="4"/>
    </row>
    <row r="320" spans="3:7" x14ac:dyDescent="0.25">
      <c r="C320" s="5"/>
      <c r="D320" s="2"/>
      <c r="E320" s="2"/>
      <c r="F320" s="2"/>
      <c r="G320" s="4"/>
    </row>
    <row r="321" spans="3:7" x14ac:dyDescent="0.25">
      <c r="C321" s="5"/>
      <c r="D321" s="2"/>
      <c r="E321" s="2"/>
      <c r="F321" s="2"/>
      <c r="G321" s="4"/>
    </row>
    <row r="322" spans="3:7" x14ac:dyDescent="0.25">
      <c r="C322" s="5"/>
      <c r="D322" s="2"/>
      <c r="E322" s="2"/>
      <c r="F322" s="2"/>
      <c r="G322" s="4"/>
    </row>
    <row r="323" spans="3:7" x14ac:dyDescent="0.25">
      <c r="C323" s="5"/>
      <c r="D323" s="2"/>
      <c r="E323" s="2"/>
      <c r="F323" s="2"/>
      <c r="G323" s="4"/>
    </row>
    <row r="324" spans="3:7" x14ac:dyDescent="0.25">
      <c r="C324" s="5"/>
      <c r="D324" s="2"/>
      <c r="E324" s="2"/>
      <c r="F324" s="2"/>
      <c r="G324" s="4"/>
    </row>
    <row r="325" spans="3:7" x14ac:dyDescent="0.25">
      <c r="C325" s="5"/>
      <c r="D325" s="2"/>
      <c r="E325" s="2"/>
      <c r="F325" s="2"/>
      <c r="G325" s="4"/>
    </row>
    <row r="326" spans="3:7" x14ac:dyDescent="0.25">
      <c r="C326" s="5"/>
      <c r="D326" s="2"/>
      <c r="E326" s="2"/>
      <c r="F326" s="2"/>
      <c r="G326" s="4"/>
    </row>
    <row r="327" spans="3:7" x14ac:dyDescent="0.25">
      <c r="C327" s="5"/>
      <c r="D327" s="2"/>
      <c r="E327" s="2"/>
      <c r="F327" s="2"/>
      <c r="G327" s="4"/>
    </row>
    <row r="328" spans="3:7" x14ac:dyDescent="0.25">
      <c r="C328" s="5"/>
      <c r="D328" s="2"/>
      <c r="E328" s="2"/>
      <c r="F328" s="2"/>
      <c r="G328" s="4"/>
    </row>
    <row r="329" spans="3:7" x14ac:dyDescent="0.25">
      <c r="C329" s="5"/>
      <c r="D329" s="2"/>
      <c r="E329" s="2"/>
      <c r="F329" s="2"/>
      <c r="G329" s="4"/>
    </row>
    <row r="330" spans="3:7" x14ac:dyDescent="0.25">
      <c r="C330" s="5"/>
      <c r="D330" s="2"/>
      <c r="E330" s="2"/>
      <c r="F330" s="2"/>
      <c r="G330" s="4"/>
    </row>
    <row r="331" spans="3:7" x14ac:dyDescent="0.25">
      <c r="C331" s="5"/>
      <c r="D331" s="2"/>
      <c r="E331" s="2"/>
      <c r="F331" s="2"/>
      <c r="G331" s="4"/>
    </row>
    <row r="332" spans="3:7" x14ac:dyDescent="0.25">
      <c r="C332" s="5"/>
      <c r="D332" s="2"/>
      <c r="E332" s="2"/>
      <c r="F332" s="2"/>
      <c r="G332" s="4"/>
    </row>
    <row r="333" spans="3:7" x14ac:dyDescent="0.25">
      <c r="C333" s="5"/>
      <c r="D333" s="2"/>
      <c r="E333" s="2"/>
      <c r="F333" s="2"/>
      <c r="G333" s="4"/>
    </row>
    <row r="334" spans="3:7" x14ac:dyDescent="0.25">
      <c r="C334" s="5"/>
      <c r="D334" s="2"/>
      <c r="E334" s="2"/>
      <c r="F334" s="2"/>
      <c r="G334" s="4"/>
    </row>
    <row r="335" spans="3:7" x14ac:dyDescent="0.25">
      <c r="C335" s="5"/>
      <c r="D335" s="2"/>
      <c r="E335" s="2"/>
      <c r="F335" s="2"/>
      <c r="G335" s="4"/>
    </row>
    <row r="336" spans="3:7" x14ac:dyDescent="0.25">
      <c r="C336" s="5"/>
      <c r="D336" s="2"/>
      <c r="E336" s="2"/>
      <c r="F336" s="2"/>
      <c r="G336" s="4"/>
    </row>
    <row r="337" spans="3:7" x14ac:dyDescent="0.25">
      <c r="C337" s="5"/>
      <c r="D337" s="2"/>
      <c r="E337" s="2"/>
      <c r="F337" s="2"/>
      <c r="G337" s="4"/>
    </row>
    <row r="338" spans="3:7" x14ac:dyDescent="0.25">
      <c r="C338" s="5"/>
      <c r="D338" s="2"/>
      <c r="E338" s="2"/>
      <c r="F338" s="2"/>
      <c r="G338" s="4"/>
    </row>
    <row r="339" spans="3:7" x14ac:dyDescent="0.25">
      <c r="C339" s="5"/>
      <c r="D339" s="2"/>
      <c r="E339" s="2"/>
      <c r="F339" s="2"/>
      <c r="G339" s="4"/>
    </row>
    <row r="340" spans="3:7" x14ac:dyDescent="0.25">
      <c r="C340" s="5"/>
      <c r="D340" s="2"/>
      <c r="E340" s="2"/>
      <c r="F340" s="2"/>
      <c r="G340" s="4"/>
    </row>
    <row r="341" spans="3:7" x14ac:dyDescent="0.25">
      <c r="C341" s="5"/>
      <c r="D341" s="2"/>
      <c r="E341" s="2"/>
      <c r="F341" s="2"/>
      <c r="G341" s="4"/>
    </row>
    <row r="342" spans="3:7" x14ac:dyDescent="0.25">
      <c r="C342" s="5"/>
      <c r="D342" s="2"/>
      <c r="E342" s="2"/>
      <c r="F342" s="2"/>
      <c r="G342" s="4"/>
    </row>
    <row r="343" spans="3:7" x14ac:dyDescent="0.25">
      <c r="C343" s="5"/>
      <c r="D343" s="2"/>
      <c r="E343" s="2"/>
      <c r="F343" s="2"/>
      <c r="G343" s="4"/>
    </row>
    <row r="344" spans="3:7" x14ac:dyDescent="0.25">
      <c r="C344" s="5"/>
      <c r="D344" s="2"/>
      <c r="E344" s="2"/>
      <c r="F344" s="2"/>
      <c r="G344" s="4"/>
    </row>
    <row r="345" spans="3:7" x14ac:dyDescent="0.25">
      <c r="C345" s="5"/>
      <c r="D345" s="2"/>
      <c r="E345" s="2"/>
      <c r="F345" s="2"/>
      <c r="G345" s="4"/>
    </row>
    <row r="346" spans="3:7" x14ac:dyDescent="0.25">
      <c r="C346" s="5"/>
      <c r="D346" s="2"/>
      <c r="E346" s="2"/>
      <c r="F346" s="2"/>
      <c r="G346" s="4"/>
    </row>
    <row r="347" spans="3:7" x14ac:dyDescent="0.25">
      <c r="C347" s="5"/>
      <c r="D347" s="2"/>
      <c r="E347" s="2"/>
      <c r="F347" s="2"/>
      <c r="G347" s="4"/>
    </row>
    <row r="348" spans="3:7" x14ac:dyDescent="0.25">
      <c r="C348" s="5"/>
      <c r="D348" s="2"/>
      <c r="E348" s="2"/>
      <c r="F348" s="2"/>
      <c r="G348" s="4"/>
    </row>
    <row r="349" spans="3:7" x14ac:dyDescent="0.25">
      <c r="C349" s="5"/>
      <c r="D349" s="2"/>
      <c r="E349" s="2"/>
      <c r="F349" s="2"/>
      <c r="G349" s="4"/>
    </row>
    <row r="350" spans="3:7" x14ac:dyDescent="0.25">
      <c r="C350" s="5"/>
      <c r="D350" s="2"/>
      <c r="E350" s="2"/>
      <c r="F350" s="2"/>
      <c r="G350" s="4"/>
    </row>
    <row r="351" spans="3:7" x14ac:dyDescent="0.25">
      <c r="C351" s="5"/>
      <c r="D351" s="2"/>
      <c r="E351" s="2"/>
      <c r="F351" s="2"/>
      <c r="G351" s="4"/>
    </row>
    <row r="352" spans="3:7" x14ac:dyDescent="0.25">
      <c r="C352" s="5"/>
      <c r="D352" s="2"/>
      <c r="E352" s="2"/>
      <c r="F352" s="2"/>
      <c r="G352" s="4"/>
    </row>
    <row r="353" spans="3:7" x14ac:dyDescent="0.25">
      <c r="C353" s="5"/>
      <c r="D353" s="2"/>
      <c r="E353" s="2"/>
      <c r="F353" s="2"/>
      <c r="G353" s="4"/>
    </row>
    <row r="354" spans="3:7" x14ac:dyDescent="0.25">
      <c r="C354" s="5"/>
      <c r="D354" s="2"/>
      <c r="E354" s="2"/>
      <c r="F354" s="2"/>
      <c r="G354" s="4"/>
    </row>
    <row r="355" spans="3:7" x14ac:dyDescent="0.25">
      <c r="C355" s="5"/>
      <c r="D355" s="2"/>
      <c r="E355" s="2"/>
      <c r="F355" s="2"/>
      <c r="G355" s="4"/>
    </row>
    <row r="356" spans="3:7" x14ac:dyDescent="0.25">
      <c r="C356" s="5"/>
      <c r="D356" s="2"/>
      <c r="E356" s="2"/>
      <c r="F356" s="2"/>
      <c r="G356" s="4"/>
    </row>
    <row r="357" spans="3:7" x14ac:dyDescent="0.25">
      <c r="C357" s="5"/>
      <c r="D357" s="2"/>
      <c r="E357" s="2"/>
      <c r="F357" s="2"/>
      <c r="G357" s="4"/>
    </row>
    <row r="358" spans="3:7" x14ac:dyDescent="0.25">
      <c r="C358" s="5"/>
      <c r="D358" s="2"/>
      <c r="E358" s="2"/>
      <c r="F358" s="2"/>
      <c r="G358" s="4"/>
    </row>
    <row r="359" spans="3:7" x14ac:dyDescent="0.25">
      <c r="C359" s="5"/>
      <c r="D359" s="2"/>
      <c r="E359" s="2"/>
      <c r="F359" s="2"/>
      <c r="G359" s="4"/>
    </row>
    <row r="360" spans="3:7" x14ac:dyDescent="0.25">
      <c r="C360" s="5"/>
      <c r="D360" s="2"/>
      <c r="E360" s="2"/>
      <c r="F360" s="2"/>
      <c r="G360" s="4"/>
    </row>
    <row r="361" spans="3:7" x14ac:dyDescent="0.25">
      <c r="C361" s="5"/>
      <c r="D361" s="2"/>
      <c r="E361" s="2"/>
      <c r="F361" s="2"/>
      <c r="G361" s="4"/>
    </row>
    <row r="362" spans="3:7" x14ac:dyDescent="0.25">
      <c r="C362" s="5"/>
      <c r="D362" s="2"/>
      <c r="E362" s="2"/>
      <c r="F362" s="2"/>
      <c r="G362" s="4"/>
    </row>
    <row r="363" spans="3:7" x14ac:dyDescent="0.25">
      <c r="C363" s="5"/>
      <c r="D363" s="2"/>
      <c r="E363" s="2"/>
      <c r="F363" s="2"/>
      <c r="G363" s="4"/>
    </row>
    <row r="364" spans="3:7" x14ac:dyDescent="0.25">
      <c r="C364" s="5"/>
      <c r="D364" s="2"/>
      <c r="E364" s="2"/>
      <c r="F364" s="2"/>
      <c r="G364" s="4"/>
    </row>
    <row r="365" spans="3:7" x14ac:dyDescent="0.25">
      <c r="C365" s="5"/>
      <c r="D365" s="2"/>
      <c r="E365" s="2"/>
      <c r="F365" s="2"/>
      <c r="G365" s="4"/>
    </row>
    <row r="366" spans="3:7" x14ac:dyDescent="0.25">
      <c r="C366" s="5"/>
      <c r="D366" s="2"/>
      <c r="E366" s="2"/>
      <c r="F366" s="2"/>
      <c r="G366" s="4"/>
    </row>
    <row r="367" spans="3:7" x14ac:dyDescent="0.25">
      <c r="C367" s="5"/>
      <c r="D367" s="2"/>
      <c r="E367" s="2"/>
      <c r="F367" s="2"/>
      <c r="G367" s="4"/>
    </row>
    <row r="368" spans="3:7" x14ac:dyDescent="0.25">
      <c r="C368" s="5"/>
      <c r="D368" s="2"/>
      <c r="E368" s="2"/>
      <c r="F368" s="2"/>
      <c r="G368" s="4"/>
    </row>
    <row r="369" spans="3:7" x14ac:dyDescent="0.25">
      <c r="C369" s="5"/>
      <c r="D369" s="2"/>
      <c r="E369" s="2"/>
      <c r="F369" s="2"/>
      <c r="G369" s="4"/>
    </row>
    <row r="370" spans="3:7" x14ac:dyDescent="0.25">
      <c r="C370" s="5"/>
      <c r="D370" s="2"/>
      <c r="E370" s="2"/>
      <c r="F370" s="2"/>
      <c r="G370" s="4"/>
    </row>
    <row r="371" spans="3:7" x14ac:dyDescent="0.25">
      <c r="C371" s="5"/>
      <c r="D371" s="2"/>
      <c r="E371" s="2"/>
      <c r="F371" s="2"/>
      <c r="G371" s="4"/>
    </row>
    <row r="372" spans="3:7" x14ac:dyDescent="0.25">
      <c r="C372" s="5"/>
      <c r="D372" s="2"/>
      <c r="E372" s="2"/>
      <c r="F372" s="2"/>
      <c r="G372" s="4"/>
    </row>
    <row r="373" spans="3:7" x14ac:dyDescent="0.25">
      <c r="C373" s="5"/>
      <c r="D373" s="2"/>
      <c r="E373" s="2"/>
      <c r="F373" s="2"/>
      <c r="G373" s="4"/>
    </row>
    <row r="374" spans="3:7" x14ac:dyDescent="0.25">
      <c r="C374" s="5"/>
      <c r="D374" s="2"/>
      <c r="E374" s="2"/>
      <c r="F374" s="2"/>
      <c r="G374" s="4"/>
    </row>
    <row r="375" spans="3:7" x14ac:dyDescent="0.25">
      <c r="C375" s="5"/>
      <c r="D375" s="2"/>
      <c r="E375" s="2"/>
      <c r="F375" s="2"/>
      <c r="G375" s="4"/>
    </row>
    <row r="376" spans="3:7" x14ac:dyDescent="0.25">
      <c r="C376" s="5"/>
      <c r="D376" s="2"/>
      <c r="E376" s="2"/>
      <c r="F376" s="2"/>
      <c r="G376" s="4"/>
    </row>
    <row r="377" spans="3:7" x14ac:dyDescent="0.25">
      <c r="C377" s="5"/>
      <c r="D377" s="2"/>
      <c r="E377" s="2"/>
      <c r="F377" s="2"/>
      <c r="G377" s="4"/>
    </row>
    <row r="378" spans="3:7" x14ac:dyDescent="0.25">
      <c r="C378" s="5"/>
      <c r="D378" s="2"/>
      <c r="E378" s="2"/>
      <c r="F378" s="2"/>
      <c r="G378" s="4"/>
    </row>
    <row r="379" spans="3:7" x14ac:dyDescent="0.25">
      <c r="C379" s="5"/>
      <c r="D379" s="2"/>
      <c r="E379" s="2"/>
      <c r="F379" s="2"/>
      <c r="G379" s="4"/>
    </row>
    <row r="380" spans="3:7" x14ac:dyDescent="0.25">
      <c r="C380" s="5"/>
      <c r="D380" s="2"/>
      <c r="E380" s="2"/>
      <c r="F380" s="2"/>
      <c r="G380" s="4"/>
    </row>
    <row r="381" spans="3:7" x14ac:dyDescent="0.25">
      <c r="C381" s="5"/>
      <c r="D381" s="2"/>
      <c r="E381" s="2"/>
      <c r="F381" s="2"/>
      <c r="G381" s="4"/>
    </row>
    <row r="382" spans="3:7" x14ac:dyDescent="0.25">
      <c r="C382" s="5"/>
      <c r="D382" s="2"/>
      <c r="E382" s="2"/>
      <c r="F382" s="2"/>
      <c r="G382" s="4"/>
    </row>
    <row r="383" spans="3:7" x14ac:dyDescent="0.25">
      <c r="C383" s="5"/>
      <c r="D383" s="2"/>
      <c r="E383" s="2"/>
      <c r="F383" s="2"/>
      <c r="G383" s="4"/>
    </row>
    <row r="384" spans="3:7" x14ac:dyDescent="0.25">
      <c r="C384" s="5"/>
      <c r="D384" s="2"/>
      <c r="E384" s="2"/>
      <c r="F384" s="2"/>
      <c r="G384" s="4"/>
    </row>
    <row r="385" spans="3:7" x14ac:dyDescent="0.25">
      <c r="C385" s="5"/>
      <c r="D385" s="2"/>
      <c r="E385" s="2"/>
      <c r="F385" s="2"/>
      <c r="G385" s="4"/>
    </row>
    <row r="386" spans="3:7" x14ac:dyDescent="0.25">
      <c r="C386" s="5"/>
      <c r="D386" s="2"/>
      <c r="E386" s="2"/>
      <c r="F386" s="2"/>
      <c r="G386" s="4"/>
    </row>
    <row r="387" spans="3:7" x14ac:dyDescent="0.25">
      <c r="C387" s="5"/>
      <c r="D387" s="2"/>
      <c r="E387" s="2"/>
      <c r="F387" s="2"/>
      <c r="G387" s="4"/>
    </row>
    <row r="388" spans="3:7" x14ac:dyDescent="0.25">
      <c r="C388" s="5"/>
      <c r="D388" s="2"/>
      <c r="E388" s="2"/>
      <c r="F388" s="2"/>
      <c r="G388" s="4"/>
    </row>
    <row r="389" spans="3:7" x14ac:dyDescent="0.25">
      <c r="C389" s="5"/>
      <c r="D389" s="2"/>
      <c r="E389" s="2"/>
      <c r="F389" s="2"/>
      <c r="G389" s="4"/>
    </row>
    <row r="390" spans="3:7" x14ac:dyDescent="0.25">
      <c r="C390" s="5"/>
      <c r="D390" s="2"/>
      <c r="E390" s="2"/>
      <c r="F390" s="2"/>
      <c r="G390" s="4"/>
    </row>
    <row r="391" spans="3:7" x14ac:dyDescent="0.25">
      <c r="C391" s="5"/>
      <c r="D391" s="2"/>
      <c r="E391" s="2"/>
      <c r="F391" s="2"/>
      <c r="G391" s="4"/>
    </row>
    <row r="392" spans="3:7" x14ac:dyDescent="0.25">
      <c r="C392" s="5"/>
      <c r="D392" s="2"/>
      <c r="E392" s="2"/>
      <c r="F392" s="2"/>
      <c r="G392" s="4"/>
    </row>
    <row r="393" spans="3:7" x14ac:dyDescent="0.25">
      <c r="C393" s="5"/>
      <c r="D393" s="2"/>
      <c r="E393" s="2"/>
      <c r="F393" s="2"/>
      <c r="G393" s="4"/>
    </row>
    <row r="394" spans="3:7" x14ac:dyDescent="0.25">
      <c r="C394" s="5"/>
      <c r="D394" s="2"/>
      <c r="E394" s="2"/>
      <c r="F394" s="2"/>
      <c r="G394" s="4"/>
    </row>
    <row r="395" spans="3:7" x14ac:dyDescent="0.25">
      <c r="C395" s="5"/>
      <c r="D395" s="2"/>
      <c r="E395" s="2"/>
      <c r="F395" s="2"/>
      <c r="G395" s="4"/>
    </row>
    <row r="396" spans="3:7" x14ac:dyDescent="0.25">
      <c r="C396" s="5"/>
      <c r="D396" s="2"/>
      <c r="E396" s="2"/>
      <c r="F396" s="2"/>
      <c r="G396" s="4"/>
    </row>
    <row r="397" spans="3:7" x14ac:dyDescent="0.25">
      <c r="C397" s="5"/>
      <c r="D397" s="2"/>
      <c r="E397" s="2"/>
      <c r="F397" s="2"/>
      <c r="G397" s="4"/>
    </row>
    <row r="398" spans="3:7" x14ac:dyDescent="0.25">
      <c r="C398" s="5"/>
      <c r="D398" s="2"/>
      <c r="E398" s="2"/>
      <c r="F398" s="2"/>
      <c r="G398" s="4"/>
    </row>
    <row r="399" spans="3:7" x14ac:dyDescent="0.25">
      <c r="C399" s="5"/>
      <c r="D399" s="2"/>
      <c r="E399" s="2"/>
      <c r="F399" s="2"/>
      <c r="G399" s="4"/>
    </row>
    <row r="400" spans="3:7" x14ac:dyDescent="0.25">
      <c r="C400" s="5"/>
      <c r="D400" s="2"/>
      <c r="E400" s="2"/>
      <c r="F400" s="2"/>
      <c r="G400" s="4"/>
    </row>
    <row r="401" spans="3:7" x14ac:dyDescent="0.25">
      <c r="C401" s="5"/>
      <c r="D401" s="2"/>
      <c r="E401" s="2"/>
      <c r="F401" s="2"/>
      <c r="G401" s="4"/>
    </row>
    <row r="402" spans="3:7" x14ac:dyDescent="0.25">
      <c r="C402" s="5"/>
      <c r="D402" s="2"/>
      <c r="E402" s="2"/>
      <c r="F402" s="2"/>
      <c r="G402" s="4"/>
    </row>
    <row r="403" spans="3:7" x14ac:dyDescent="0.25">
      <c r="C403" s="5"/>
      <c r="D403" s="2"/>
      <c r="E403" s="2"/>
      <c r="F403" s="2"/>
      <c r="G403" s="4"/>
    </row>
    <row r="404" spans="3:7" x14ac:dyDescent="0.25">
      <c r="C404" s="5"/>
      <c r="D404" s="2"/>
      <c r="E404" s="2"/>
      <c r="F404" s="2"/>
      <c r="G404" s="4"/>
    </row>
    <row r="405" spans="3:7" x14ac:dyDescent="0.25">
      <c r="C405" s="5"/>
      <c r="D405" s="2"/>
      <c r="E405" s="2"/>
      <c r="F405" s="2"/>
      <c r="G405" s="4"/>
    </row>
    <row r="406" spans="3:7" x14ac:dyDescent="0.25">
      <c r="C406" s="5"/>
      <c r="D406" s="2"/>
      <c r="E406" s="2"/>
      <c r="F406" s="2"/>
      <c r="G406" s="4"/>
    </row>
    <row r="407" spans="3:7" x14ac:dyDescent="0.25">
      <c r="C407" s="5"/>
      <c r="D407" s="2"/>
      <c r="E407" s="2"/>
      <c r="F407" s="2"/>
      <c r="G407" s="4"/>
    </row>
    <row r="408" spans="3:7" x14ac:dyDescent="0.25">
      <c r="C408" s="5"/>
      <c r="D408" s="2"/>
      <c r="E408" s="2"/>
      <c r="F408" s="2"/>
      <c r="G408" s="4"/>
    </row>
    <row r="409" spans="3:7" x14ac:dyDescent="0.25">
      <c r="C409" s="5"/>
      <c r="D409" s="2"/>
      <c r="E409" s="2"/>
      <c r="F409" s="2"/>
      <c r="G409" s="4"/>
    </row>
    <row r="410" spans="3:7" x14ac:dyDescent="0.25">
      <c r="C410" s="5"/>
      <c r="D410" s="2"/>
      <c r="E410" s="2"/>
      <c r="F410" s="2"/>
      <c r="G410" s="4"/>
    </row>
    <row r="411" spans="3:7" x14ac:dyDescent="0.25">
      <c r="C411" s="5"/>
      <c r="D411" s="2"/>
      <c r="E411" s="2"/>
      <c r="F411" s="2"/>
      <c r="G411" s="4"/>
    </row>
    <row r="412" spans="3:7" x14ac:dyDescent="0.25">
      <c r="C412" s="5"/>
      <c r="D412" s="2"/>
      <c r="E412" s="2"/>
      <c r="F412" s="2"/>
      <c r="G412" s="4"/>
    </row>
    <row r="413" spans="3:7" x14ac:dyDescent="0.25">
      <c r="C413" s="5"/>
      <c r="D413" s="2"/>
      <c r="E413" s="2"/>
      <c r="F413" s="2"/>
      <c r="G413" s="4"/>
    </row>
    <row r="414" spans="3:7" x14ac:dyDescent="0.25">
      <c r="C414" s="5"/>
      <c r="D414" s="2"/>
      <c r="E414" s="2"/>
      <c r="F414" s="2"/>
      <c r="G414" s="4"/>
    </row>
    <row r="415" spans="3:7" x14ac:dyDescent="0.25">
      <c r="C415" s="5"/>
      <c r="D415" s="2"/>
      <c r="E415" s="2"/>
      <c r="F415" s="2"/>
      <c r="G415" s="4"/>
    </row>
    <row r="416" spans="3:7" x14ac:dyDescent="0.25">
      <c r="C416" s="5"/>
      <c r="D416" s="2"/>
      <c r="E416" s="2"/>
      <c r="F416" s="2"/>
      <c r="G416" s="4"/>
    </row>
    <row r="417" spans="3:7" x14ac:dyDescent="0.25">
      <c r="C417" s="5"/>
      <c r="D417" s="2"/>
      <c r="E417" s="2"/>
      <c r="F417" s="2"/>
      <c r="G417" s="4"/>
    </row>
    <row r="418" spans="3:7" x14ac:dyDescent="0.25">
      <c r="C418" s="5"/>
      <c r="D418" s="2"/>
      <c r="E418" s="2"/>
      <c r="F418" s="2"/>
      <c r="G418" s="4"/>
    </row>
    <row r="419" spans="3:7" x14ac:dyDescent="0.25">
      <c r="C419" s="5"/>
      <c r="D419" s="2"/>
      <c r="E419" s="2"/>
      <c r="F419" s="2"/>
      <c r="G419" s="4"/>
    </row>
    <row r="420" spans="3:7" x14ac:dyDescent="0.25">
      <c r="C420" s="5"/>
      <c r="D420" s="2"/>
      <c r="E420" s="2"/>
      <c r="F420" s="2"/>
      <c r="G420" s="4"/>
    </row>
    <row r="421" spans="3:7" x14ac:dyDescent="0.25">
      <c r="C421" s="5"/>
      <c r="D421" s="2"/>
      <c r="E421" s="2"/>
      <c r="F421" s="2"/>
      <c r="G421" s="4"/>
    </row>
    <row r="422" spans="3:7" x14ac:dyDescent="0.25">
      <c r="C422" s="5"/>
      <c r="D422" s="2"/>
      <c r="E422" s="2"/>
      <c r="F422" s="2"/>
      <c r="G422" s="4"/>
    </row>
    <row r="423" spans="3:7" x14ac:dyDescent="0.25">
      <c r="C423" s="5"/>
      <c r="D423" s="2"/>
      <c r="E423" s="2"/>
      <c r="F423" s="2"/>
      <c r="G423" s="4"/>
    </row>
    <row r="424" spans="3:7" x14ac:dyDescent="0.25">
      <c r="C424" s="5"/>
      <c r="D424" s="2"/>
      <c r="E424" s="2"/>
      <c r="F424" s="2"/>
      <c r="G424" s="4"/>
    </row>
    <row r="425" spans="3:7" x14ac:dyDescent="0.25">
      <c r="C425" s="5"/>
      <c r="D425" s="2"/>
      <c r="E425" s="2"/>
      <c r="F425" s="2"/>
      <c r="G425" s="4"/>
    </row>
    <row r="426" spans="3:7" x14ac:dyDescent="0.25">
      <c r="C426" s="5"/>
      <c r="D426" s="2"/>
      <c r="E426" s="2"/>
      <c r="F426" s="2"/>
      <c r="G426" s="4"/>
    </row>
    <row r="427" spans="3:7" x14ac:dyDescent="0.25">
      <c r="C427" s="5"/>
      <c r="D427" s="2"/>
      <c r="E427" s="2"/>
      <c r="F427" s="2"/>
      <c r="G427" s="4"/>
    </row>
    <row r="428" spans="3:7" x14ac:dyDescent="0.25">
      <c r="C428" s="5"/>
      <c r="D428" s="2"/>
      <c r="E428" s="2"/>
      <c r="F428" s="2"/>
      <c r="G428" s="4"/>
    </row>
    <row r="429" spans="3:7" x14ac:dyDescent="0.25">
      <c r="C429" s="5"/>
      <c r="D429" s="2"/>
      <c r="E429" s="2"/>
      <c r="F429" s="2"/>
      <c r="G429" s="4"/>
    </row>
    <row r="430" spans="3:7" x14ac:dyDescent="0.25">
      <c r="C430" s="5"/>
      <c r="D430" s="2"/>
      <c r="E430" s="2"/>
      <c r="F430" s="2"/>
      <c r="G430" s="4"/>
    </row>
    <row r="431" spans="3:7" x14ac:dyDescent="0.25">
      <c r="C431" s="5"/>
      <c r="D431" s="2"/>
      <c r="E431" s="2"/>
      <c r="F431" s="2"/>
      <c r="G431" s="4"/>
    </row>
    <row r="432" spans="3:7" x14ac:dyDescent="0.25">
      <c r="C432" s="5"/>
      <c r="D432" s="2"/>
      <c r="E432" s="2"/>
      <c r="F432" s="2"/>
      <c r="G432" s="4"/>
    </row>
    <row r="433" spans="3:7" x14ac:dyDescent="0.25">
      <c r="C433" s="5"/>
      <c r="D433" s="2"/>
      <c r="E433" s="2"/>
      <c r="F433" s="2"/>
      <c r="G433" s="4"/>
    </row>
    <row r="434" spans="3:7" x14ac:dyDescent="0.25">
      <c r="C434" s="5"/>
      <c r="D434" s="2"/>
      <c r="E434" s="2"/>
      <c r="F434" s="2"/>
      <c r="G434" s="4"/>
    </row>
    <row r="435" spans="3:7" x14ac:dyDescent="0.25">
      <c r="C435" s="5"/>
      <c r="D435" s="2"/>
      <c r="E435" s="2"/>
      <c r="F435" s="2"/>
      <c r="G435" s="4"/>
    </row>
    <row r="436" spans="3:7" x14ac:dyDescent="0.25">
      <c r="C436" s="5"/>
      <c r="D436" s="2"/>
      <c r="E436" s="2"/>
      <c r="F436" s="2"/>
      <c r="G436" s="4"/>
    </row>
    <row r="437" spans="3:7" x14ac:dyDescent="0.25">
      <c r="C437" s="5"/>
      <c r="D437" s="2"/>
      <c r="E437" s="2"/>
      <c r="F437" s="2"/>
      <c r="G437" s="4"/>
    </row>
    <row r="438" spans="3:7" x14ac:dyDescent="0.25">
      <c r="C438" s="5"/>
      <c r="D438" s="2"/>
      <c r="E438" s="2"/>
      <c r="F438" s="2"/>
      <c r="G438" s="4"/>
    </row>
    <row r="439" spans="3:7" x14ac:dyDescent="0.25">
      <c r="C439" s="5"/>
      <c r="D439" s="2"/>
      <c r="E439" s="2"/>
      <c r="F439" s="2"/>
      <c r="G439" s="4"/>
    </row>
    <row r="440" spans="3:7" x14ac:dyDescent="0.25">
      <c r="C440" s="5"/>
      <c r="D440" s="2"/>
      <c r="E440" s="2"/>
      <c r="F440" s="2"/>
      <c r="G440" s="4"/>
    </row>
    <row r="441" spans="3:7" x14ac:dyDescent="0.25">
      <c r="C441" s="5"/>
      <c r="D441" s="2"/>
      <c r="E441" s="2"/>
      <c r="F441" s="2"/>
      <c r="G441" s="4"/>
    </row>
    <row r="442" spans="3:7" x14ac:dyDescent="0.25">
      <c r="C442" s="5"/>
      <c r="D442" s="2"/>
      <c r="E442" s="2"/>
      <c r="F442" s="2"/>
      <c r="G442" s="4"/>
    </row>
    <row r="443" spans="3:7" x14ac:dyDescent="0.25">
      <c r="C443" s="5"/>
      <c r="D443" s="2"/>
      <c r="E443" s="2"/>
      <c r="F443" s="2"/>
      <c r="G443" s="4"/>
    </row>
    <row r="444" spans="3:7" x14ac:dyDescent="0.25">
      <c r="C444" s="5"/>
      <c r="D444" s="2"/>
      <c r="E444" s="2"/>
      <c r="F444" s="2"/>
      <c r="G444" s="4"/>
    </row>
    <row r="445" spans="3:7" x14ac:dyDescent="0.25">
      <c r="C445" s="5"/>
      <c r="D445" s="2"/>
      <c r="E445" s="2"/>
      <c r="F445" s="2"/>
      <c r="G445" s="4"/>
    </row>
    <row r="446" spans="3:7" x14ac:dyDescent="0.25">
      <c r="C446" s="5"/>
      <c r="D446" s="2"/>
      <c r="E446" s="2"/>
      <c r="F446" s="2"/>
      <c r="G446" s="4"/>
    </row>
    <row r="447" spans="3:7" x14ac:dyDescent="0.25">
      <c r="C447" s="5"/>
      <c r="D447" s="2"/>
      <c r="E447" s="2"/>
      <c r="F447" s="2"/>
      <c r="G447" s="4"/>
    </row>
    <row r="448" spans="3:7" x14ac:dyDescent="0.25">
      <c r="C448" s="5"/>
      <c r="D448" s="2"/>
      <c r="E448" s="2"/>
      <c r="F448" s="2"/>
      <c r="G448" s="4"/>
    </row>
    <row r="449" spans="3:7" x14ac:dyDescent="0.25">
      <c r="C449" s="5"/>
      <c r="D449" s="2"/>
      <c r="E449" s="2"/>
      <c r="F449" s="2"/>
      <c r="G449" s="4"/>
    </row>
    <row r="450" spans="3:7" x14ac:dyDescent="0.25">
      <c r="C450" s="5"/>
      <c r="D450" s="2"/>
      <c r="E450" s="2"/>
      <c r="F450" s="2"/>
      <c r="G450" s="4"/>
    </row>
    <row r="451" spans="3:7" x14ac:dyDescent="0.25">
      <c r="C451" s="5"/>
      <c r="D451" s="2"/>
      <c r="E451" s="2"/>
      <c r="F451" s="2"/>
      <c r="G451" s="4"/>
    </row>
    <row r="452" spans="3:7" x14ac:dyDescent="0.25">
      <c r="C452" s="5"/>
      <c r="D452" s="2"/>
      <c r="E452" s="2"/>
      <c r="F452" s="2"/>
      <c r="G452" s="4"/>
    </row>
    <row r="453" spans="3:7" x14ac:dyDescent="0.25">
      <c r="C453" s="5"/>
      <c r="D453" s="2"/>
      <c r="E453" s="2"/>
      <c r="F453" s="2"/>
      <c r="G453" s="4"/>
    </row>
    <row r="454" spans="3:7" x14ac:dyDescent="0.25">
      <c r="C454" s="5"/>
      <c r="D454" s="2"/>
      <c r="E454" s="2"/>
      <c r="F454" s="2"/>
      <c r="G454" s="4"/>
    </row>
    <row r="455" spans="3:7" x14ac:dyDescent="0.25">
      <c r="C455" s="5"/>
      <c r="D455" s="2"/>
      <c r="E455" s="2"/>
      <c r="F455" s="2"/>
      <c r="G455" s="4"/>
    </row>
    <row r="456" spans="3:7" x14ac:dyDescent="0.25">
      <c r="C456" s="5"/>
      <c r="D456" s="2"/>
      <c r="E456" s="2"/>
      <c r="F456" s="2"/>
      <c r="G456" s="4"/>
    </row>
    <row r="457" spans="3:7" x14ac:dyDescent="0.25">
      <c r="C457" s="5"/>
      <c r="D457" s="2"/>
      <c r="E457" s="2"/>
      <c r="F457" s="2"/>
      <c r="G457" s="4"/>
    </row>
    <row r="458" spans="3:7" x14ac:dyDescent="0.25">
      <c r="C458" s="5"/>
      <c r="D458" s="2"/>
      <c r="E458" s="2"/>
      <c r="F458" s="2"/>
      <c r="G458" s="4"/>
    </row>
    <row r="459" spans="3:7" x14ac:dyDescent="0.25">
      <c r="C459" s="5"/>
      <c r="D459" s="2"/>
      <c r="E459" s="2"/>
      <c r="F459" s="2"/>
      <c r="G459" s="4"/>
    </row>
    <row r="460" spans="3:7" x14ac:dyDescent="0.25">
      <c r="C460" s="5"/>
      <c r="D460" s="2"/>
      <c r="E460" s="2"/>
      <c r="F460" s="2"/>
      <c r="G460" s="4"/>
    </row>
    <row r="461" spans="3:7" x14ac:dyDescent="0.25">
      <c r="C461" s="5"/>
      <c r="D461" s="2"/>
      <c r="E461" s="2"/>
      <c r="F461" s="2"/>
      <c r="G461" s="4"/>
    </row>
    <row r="462" spans="3:7" x14ac:dyDescent="0.25">
      <c r="C462" s="5"/>
      <c r="D462" s="2"/>
      <c r="E462" s="2"/>
      <c r="F462" s="2"/>
      <c r="G462" s="4"/>
    </row>
    <row r="463" spans="3:7" x14ac:dyDescent="0.25">
      <c r="C463" s="5"/>
      <c r="D463" s="2"/>
      <c r="E463" s="2"/>
      <c r="F463" s="2"/>
      <c r="G463" s="4"/>
    </row>
    <row r="464" spans="3:7" x14ac:dyDescent="0.25">
      <c r="C464" s="5"/>
      <c r="D464" s="2"/>
      <c r="E464" s="2"/>
      <c r="F464" s="2"/>
      <c r="G464" s="4"/>
    </row>
    <row r="465" spans="3:7" x14ac:dyDescent="0.25">
      <c r="C465" s="5"/>
      <c r="D465" s="2"/>
      <c r="E465" s="2"/>
      <c r="F465" s="2"/>
      <c r="G465" s="4"/>
    </row>
    <row r="466" spans="3:7" x14ac:dyDescent="0.25">
      <c r="C466" s="5"/>
      <c r="D466" s="2"/>
      <c r="E466" s="2"/>
      <c r="F466" s="2"/>
      <c r="G466" s="4"/>
    </row>
    <row r="467" spans="3:7" x14ac:dyDescent="0.25">
      <c r="C467" s="5"/>
      <c r="D467" s="2"/>
      <c r="E467" s="2"/>
      <c r="F467" s="2"/>
      <c r="G467" s="4"/>
    </row>
    <row r="468" spans="3:7" x14ac:dyDescent="0.25">
      <c r="C468" s="5"/>
      <c r="D468" s="2"/>
      <c r="E468" s="2"/>
      <c r="F468" s="2"/>
      <c r="G468" s="4"/>
    </row>
    <row r="469" spans="3:7" x14ac:dyDescent="0.25">
      <c r="C469" s="5"/>
      <c r="D469" s="2"/>
      <c r="E469" s="2"/>
      <c r="F469" s="2"/>
      <c r="G469" s="4"/>
    </row>
    <row r="470" spans="3:7" x14ac:dyDescent="0.25">
      <c r="C470" s="5"/>
      <c r="D470" s="2"/>
      <c r="E470" s="2"/>
      <c r="F470" s="2"/>
      <c r="G470" s="4"/>
    </row>
    <row r="471" spans="3:7" x14ac:dyDescent="0.25">
      <c r="C471" s="5"/>
      <c r="D471" s="2"/>
      <c r="E471" s="2"/>
      <c r="F471" s="2"/>
      <c r="G471" s="4"/>
    </row>
    <row r="472" spans="3:7" x14ac:dyDescent="0.25">
      <c r="C472" s="5"/>
      <c r="D472" s="2"/>
      <c r="E472" s="2"/>
      <c r="F472" s="2"/>
      <c r="G472" s="4"/>
    </row>
    <row r="473" spans="3:7" x14ac:dyDescent="0.25">
      <c r="C473" s="5"/>
      <c r="D473" s="2"/>
      <c r="E473" s="2"/>
      <c r="F473" s="2"/>
      <c r="G473" s="4"/>
    </row>
    <row r="474" spans="3:7" x14ac:dyDescent="0.25">
      <c r="C474" s="5"/>
      <c r="D474" s="2"/>
      <c r="E474" s="2"/>
      <c r="F474" s="2"/>
      <c r="G474" s="4"/>
    </row>
    <row r="475" spans="3:7" x14ac:dyDescent="0.25">
      <c r="C475" s="5"/>
      <c r="D475" s="2"/>
      <c r="E475" s="2"/>
      <c r="F475" s="2"/>
      <c r="G475" s="4"/>
    </row>
    <row r="476" spans="3:7" x14ac:dyDescent="0.25">
      <c r="C476" s="5"/>
      <c r="D476" s="2"/>
      <c r="E476" s="2"/>
      <c r="F476" s="2"/>
      <c r="G476" s="4"/>
    </row>
    <row r="477" spans="3:7" x14ac:dyDescent="0.25">
      <c r="C477" s="5"/>
      <c r="D477" s="2"/>
      <c r="E477" s="2"/>
      <c r="F477" s="2"/>
      <c r="G477" s="4"/>
    </row>
    <row r="478" spans="3:7" x14ac:dyDescent="0.25">
      <c r="C478" s="5"/>
      <c r="D478" s="2"/>
      <c r="E478" s="2"/>
      <c r="F478" s="2"/>
      <c r="G478" s="4"/>
    </row>
    <row r="479" spans="3:7" x14ac:dyDescent="0.25">
      <c r="C479" s="5"/>
      <c r="D479" s="2"/>
      <c r="E479" s="2"/>
      <c r="F479" s="2"/>
      <c r="G479" s="4"/>
    </row>
    <row r="480" spans="3:7" x14ac:dyDescent="0.25">
      <c r="C480" s="5"/>
      <c r="D480" s="2"/>
      <c r="E480" s="2"/>
      <c r="F480" s="2"/>
      <c r="G480" s="4"/>
    </row>
    <row r="481" spans="3:7" x14ac:dyDescent="0.25">
      <c r="C481" s="5"/>
      <c r="D481" s="2"/>
      <c r="E481" s="2"/>
      <c r="F481" s="2"/>
      <c r="G481" s="4"/>
    </row>
    <row r="482" spans="3:7" x14ac:dyDescent="0.25">
      <c r="C482" s="5"/>
      <c r="D482" s="2"/>
      <c r="E482" s="2"/>
      <c r="F482" s="2"/>
      <c r="G482" s="4"/>
    </row>
    <row r="483" spans="3:7" x14ac:dyDescent="0.25">
      <c r="C483" s="5"/>
      <c r="D483" s="2"/>
      <c r="E483" s="2"/>
      <c r="F483" s="2"/>
      <c r="G483" s="4"/>
    </row>
    <row r="484" spans="3:7" x14ac:dyDescent="0.25">
      <c r="C484" s="5"/>
      <c r="D484" s="2"/>
      <c r="E484" s="2"/>
      <c r="F484" s="2"/>
      <c r="G484" s="4"/>
    </row>
    <row r="485" spans="3:7" x14ac:dyDescent="0.25">
      <c r="C485" s="5"/>
      <c r="D485" s="2"/>
      <c r="E485" s="2"/>
      <c r="F485" s="2"/>
      <c r="G485" s="4"/>
    </row>
    <row r="486" spans="3:7" x14ac:dyDescent="0.25">
      <c r="C486" s="5"/>
      <c r="D486" s="2"/>
      <c r="E486" s="2"/>
      <c r="F486" s="2"/>
      <c r="G486" s="4"/>
    </row>
    <row r="487" spans="3:7" x14ac:dyDescent="0.25">
      <c r="C487" s="5"/>
      <c r="D487" s="2"/>
      <c r="E487" s="2"/>
      <c r="F487" s="2"/>
      <c r="G487" s="4"/>
    </row>
    <row r="488" spans="3:7" x14ac:dyDescent="0.25">
      <c r="C488" s="5"/>
      <c r="D488" s="2"/>
      <c r="E488" s="2"/>
      <c r="F488" s="2"/>
      <c r="G488" s="4"/>
    </row>
    <row r="489" spans="3:7" x14ac:dyDescent="0.25">
      <c r="C489" s="5"/>
      <c r="D489" s="2"/>
      <c r="E489" s="2"/>
      <c r="F489" s="2"/>
      <c r="G489" s="4"/>
    </row>
    <row r="490" spans="3:7" x14ac:dyDescent="0.25">
      <c r="C490" s="5"/>
      <c r="D490" s="2"/>
      <c r="E490" s="2"/>
      <c r="F490" s="2"/>
      <c r="G490" s="4"/>
    </row>
    <row r="491" spans="3:7" x14ac:dyDescent="0.25">
      <c r="C491" s="5"/>
      <c r="D491" s="2"/>
      <c r="E491" s="2"/>
      <c r="F491" s="2"/>
      <c r="G491" s="4"/>
    </row>
    <row r="492" spans="3:7" x14ac:dyDescent="0.25">
      <c r="C492" s="5"/>
      <c r="D492" s="2"/>
      <c r="E492" s="2"/>
      <c r="F492" s="2"/>
      <c r="G492" s="4"/>
    </row>
    <row r="493" spans="3:7" x14ac:dyDescent="0.25">
      <c r="C493" s="5"/>
      <c r="D493" s="2"/>
      <c r="E493" s="2"/>
      <c r="F493" s="2"/>
      <c r="G493" s="4"/>
    </row>
    <row r="494" spans="3:7" x14ac:dyDescent="0.25">
      <c r="C494" s="5"/>
      <c r="D494" s="2"/>
      <c r="E494" s="2"/>
      <c r="F494" s="2"/>
      <c r="G494" s="4"/>
    </row>
    <row r="495" spans="3:7" x14ac:dyDescent="0.25">
      <c r="C495" s="9"/>
      <c r="G495" s="1"/>
    </row>
    <row r="496" spans="3:7" x14ac:dyDescent="0.25">
      <c r="C496" s="9"/>
      <c r="G496" s="1"/>
    </row>
    <row r="497" spans="3:7" x14ac:dyDescent="0.25">
      <c r="C497" s="9"/>
      <c r="G497" s="1"/>
    </row>
    <row r="498" spans="3:7" x14ac:dyDescent="0.25">
      <c r="C498" s="9"/>
      <c r="G498" s="1"/>
    </row>
    <row r="499" spans="3:7" x14ac:dyDescent="0.25">
      <c r="C499" s="9"/>
      <c r="G499" s="1"/>
    </row>
    <row r="500" spans="3:7" x14ac:dyDescent="0.25">
      <c r="C500" s="9"/>
      <c r="G500" s="1"/>
    </row>
    <row r="501" spans="3:7" x14ac:dyDescent="0.25">
      <c r="C501" s="9"/>
      <c r="G501" s="1"/>
    </row>
    <row r="502" spans="3:7" x14ac:dyDescent="0.25">
      <c r="C502" s="9"/>
      <c r="G502" s="1"/>
    </row>
    <row r="503" spans="3:7" x14ac:dyDescent="0.25">
      <c r="C503" s="9"/>
      <c r="G503" s="1"/>
    </row>
    <row r="504" spans="3:7" x14ac:dyDescent="0.25">
      <c r="C504" s="9"/>
      <c r="G504" s="1"/>
    </row>
    <row r="505" spans="3:7" x14ac:dyDescent="0.25">
      <c r="C505" s="9"/>
      <c r="G505" s="1"/>
    </row>
    <row r="506" spans="3:7" x14ac:dyDescent="0.25">
      <c r="C506" s="9"/>
      <c r="G506" s="1"/>
    </row>
    <row r="507" spans="3:7" x14ac:dyDescent="0.25">
      <c r="C507" s="9"/>
      <c r="G507" s="1"/>
    </row>
    <row r="508" spans="3:7" x14ac:dyDescent="0.25">
      <c r="C508" s="9"/>
      <c r="G508" s="1"/>
    </row>
    <row r="509" spans="3:7" x14ac:dyDescent="0.25">
      <c r="C509" s="9"/>
      <c r="G509" s="1"/>
    </row>
    <row r="510" spans="3:7" x14ac:dyDescent="0.25">
      <c r="C510" s="9"/>
      <c r="G510" s="1"/>
    </row>
    <row r="511" spans="3:7" x14ac:dyDescent="0.25">
      <c r="C511" s="9"/>
      <c r="G511" s="1"/>
    </row>
    <row r="512" spans="3:7" x14ac:dyDescent="0.25">
      <c r="C512" s="9"/>
      <c r="G512" s="1"/>
    </row>
    <row r="513" spans="3:7" x14ac:dyDescent="0.25">
      <c r="C513" s="9"/>
      <c r="G513" s="1"/>
    </row>
    <row r="514" spans="3:7" x14ac:dyDescent="0.25">
      <c r="C514" s="9"/>
      <c r="G514" s="1"/>
    </row>
    <row r="515" spans="3:7" x14ac:dyDescent="0.25">
      <c r="C515" s="9"/>
      <c r="G515" s="1"/>
    </row>
    <row r="516" spans="3:7" x14ac:dyDescent="0.25">
      <c r="C516" s="9"/>
      <c r="G516" s="1"/>
    </row>
    <row r="517" spans="3:7" x14ac:dyDescent="0.25">
      <c r="C517" s="9"/>
      <c r="G517" s="1"/>
    </row>
    <row r="518" spans="3:7" x14ac:dyDescent="0.25">
      <c r="C518" s="9"/>
      <c r="G518" s="1"/>
    </row>
    <row r="519" spans="3:7" x14ac:dyDescent="0.25">
      <c r="C519" s="9"/>
      <c r="G519" s="1"/>
    </row>
    <row r="520" spans="3:7" x14ac:dyDescent="0.25">
      <c r="C520" s="9"/>
      <c r="G520" s="1"/>
    </row>
    <row r="521" spans="3:7" x14ac:dyDescent="0.25">
      <c r="C521" s="9"/>
      <c r="G521" s="1"/>
    </row>
    <row r="522" spans="3:7" x14ac:dyDescent="0.25">
      <c r="C522" s="9"/>
      <c r="G522" s="1"/>
    </row>
    <row r="523" spans="3:7" x14ac:dyDescent="0.25">
      <c r="C523" s="9"/>
      <c r="G523" s="1"/>
    </row>
    <row r="524" spans="3:7" x14ac:dyDescent="0.25">
      <c r="C524" s="9"/>
      <c r="G524" s="1"/>
    </row>
    <row r="525" spans="3:7" x14ac:dyDescent="0.25">
      <c r="C525" s="9"/>
      <c r="G525" s="1"/>
    </row>
    <row r="526" spans="3:7" x14ac:dyDescent="0.25">
      <c r="C526" s="9"/>
      <c r="G526" s="1"/>
    </row>
    <row r="527" spans="3:7" x14ac:dyDescent="0.25">
      <c r="C527" s="9"/>
      <c r="G527" s="1"/>
    </row>
    <row r="528" spans="3:7" x14ac:dyDescent="0.25">
      <c r="C528" s="9"/>
      <c r="G528" s="1"/>
    </row>
    <row r="529" spans="3:7" x14ac:dyDescent="0.25">
      <c r="C529" s="9"/>
      <c r="G529" s="1"/>
    </row>
    <row r="530" spans="3:7" x14ac:dyDescent="0.25">
      <c r="C530" s="9"/>
      <c r="G530" s="1"/>
    </row>
    <row r="531" spans="3:7" x14ac:dyDescent="0.25">
      <c r="C531" s="9"/>
      <c r="G531" s="1"/>
    </row>
    <row r="532" spans="3:7" x14ac:dyDescent="0.25">
      <c r="C532" s="9"/>
      <c r="G532" s="1"/>
    </row>
    <row r="533" spans="3:7" x14ac:dyDescent="0.25">
      <c r="C533" s="9"/>
      <c r="G533" s="1"/>
    </row>
    <row r="534" spans="3:7" x14ac:dyDescent="0.25">
      <c r="C534" s="9"/>
      <c r="G534" s="1"/>
    </row>
    <row r="535" spans="3:7" x14ac:dyDescent="0.25">
      <c r="C535" s="9"/>
      <c r="G535" s="1"/>
    </row>
    <row r="536" spans="3:7" x14ac:dyDescent="0.25">
      <c r="C536" s="9"/>
      <c r="G536" s="1"/>
    </row>
    <row r="537" spans="3:7" x14ac:dyDescent="0.25">
      <c r="C537" s="9"/>
      <c r="G537" s="1"/>
    </row>
    <row r="538" spans="3:7" x14ac:dyDescent="0.25">
      <c r="C538" s="9"/>
      <c r="G538" s="1"/>
    </row>
    <row r="539" spans="3:7" x14ac:dyDescent="0.25">
      <c r="C539" s="9"/>
      <c r="G539" s="1"/>
    </row>
    <row r="540" spans="3:7" x14ac:dyDescent="0.25">
      <c r="C540" s="9"/>
      <c r="G540" s="1"/>
    </row>
    <row r="541" spans="3:7" x14ac:dyDescent="0.25">
      <c r="C541" s="9"/>
      <c r="G541" s="1"/>
    </row>
    <row r="542" spans="3:7" x14ac:dyDescent="0.25">
      <c r="C542" s="9"/>
      <c r="G542" s="1"/>
    </row>
    <row r="543" spans="3:7" x14ac:dyDescent="0.25">
      <c r="C543" s="9"/>
      <c r="G543" s="1"/>
    </row>
    <row r="544" spans="3:7" x14ac:dyDescent="0.25">
      <c r="C544" s="9"/>
      <c r="G544" s="1"/>
    </row>
    <row r="545" spans="3:7" x14ac:dyDescent="0.25">
      <c r="C545" s="9"/>
      <c r="G545" s="1"/>
    </row>
    <row r="546" spans="3:7" x14ac:dyDescent="0.25">
      <c r="C546" s="9"/>
      <c r="G546" s="1"/>
    </row>
    <row r="547" spans="3:7" x14ac:dyDescent="0.25">
      <c r="C547" s="9"/>
      <c r="G547" s="1"/>
    </row>
    <row r="548" spans="3:7" x14ac:dyDescent="0.25">
      <c r="C548" s="9"/>
      <c r="G548" s="1"/>
    </row>
    <row r="549" spans="3:7" x14ac:dyDescent="0.25">
      <c r="C549" s="9"/>
      <c r="G549" s="1"/>
    </row>
    <row r="550" spans="3:7" x14ac:dyDescent="0.25">
      <c r="C550" s="9"/>
      <c r="G550" s="1"/>
    </row>
    <row r="551" spans="3:7" x14ac:dyDescent="0.25">
      <c r="C551" s="9"/>
      <c r="G551" s="1"/>
    </row>
    <row r="552" spans="3:7" x14ac:dyDescent="0.25">
      <c r="C552" s="9"/>
      <c r="G552" s="1"/>
    </row>
    <row r="553" spans="3:7" x14ac:dyDescent="0.25">
      <c r="C553" s="9"/>
      <c r="G553" s="1"/>
    </row>
    <row r="554" spans="3:7" x14ac:dyDescent="0.25">
      <c r="C554" s="9"/>
      <c r="G554" s="1"/>
    </row>
    <row r="555" spans="3:7" x14ac:dyDescent="0.25">
      <c r="C555" s="9"/>
      <c r="G555" s="1"/>
    </row>
    <row r="556" spans="3:7" x14ac:dyDescent="0.25">
      <c r="C556" s="9"/>
      <c r="G556" s="1"/>
    </row>
    <row r="557" spans="3:7" x14ac:dyDescent="0.25">
      <c r="C557" s="9"/>
      <c r="G557" s="1"/>
    </row>
    <row r="558" spans="3:7" x14ac:dyDescent="0.25">
      <c r="C558" s="9"/>
      <c r="G558" s="1"/>
    </row>
    <row r="559" spans="3:7" x14ac:dyDescent="0.25">
      <c r="C559" s="9"/>
      <c r="G559" s="1"/>
    </row>
    <row r="560" spans="3:7" x14ac:dyDescent="0.25">
      <c r="C560" s="9"/>
      <c r="G560" s="1"/>
    </row>
    <row r="561" spans="3:7" x14ac:dyDescent="0.25">
      <c r="C561" s="9"/>
      <c r="G561" s="1"/>
    </row>
    <row r="562" spans="3:7" x14ac:dyDescent="0.25">
      <c r="C562" s="9"/>
      <c r="G562" s="1"/>
    </row>
    <row r="563" spans="3:7" x14ac:dyDescent="0.25">
      <c r="C563" s="9"/>
      <c r="G563" s="1"/>
    </row>
    <row r="564" spans="3:7" x14ac:dyDescent="0.25">
      <c r="C564" s="9"/>
      <c r="G564" s="1"/>
    </row>
    <row r="565" spans="3:7" x14ac:dyDescent="0.25">
      <c r="C565" s="9"/>
      <c r="G565" s="1"/>
    </row>
    <row r="566" spans="3:7" x14ac:dyDescent="0.25">
      <c r="C566" s="9"/>
      <c r="G566" s="1"/>
    </row>
    <row r="567" spans="3:7" x14ac:dyDescent="0.25">
      <c r="C567" s="9"/>
      <c r="G567" s="1"/>
    </row>
    <row r="568" spans="3:7" x14ac:dyDescent="0.25">
      <c r="C568" s="9"/>
      <c r="G568" s="1"/>
    </row>
    <row r="569" spans="3:7" x14ac:dyDescent="0.25">
      <c r="C569" s="9"/>
      <c r="G569" s="1"/>
    </row>
    <row r="570" spans="3:7" x14ac:dyDescent="0.25">
      <c r="C570" s="9"/>
      <c r="G570" s="1"/>
    </row>
    <row r="571" spans="3:7" x14ac:dyDescent="0.25">
      <c r="C571" s="9"/>
      <c r="G571" s="1"/>
    </row>
    <row r="572" spans="3:7" x14ac:dyDescent="0.25">
      <c r="C572" s="9"/>
      <c r="G572" s="1"/>
    </row>
    <row r="573" spans="3:7" x14ac:dyDescent="0.25">
      <c r="C573" s="9"/>
      <c r="G573" s="1"/>
    </row>
    <row r="574" spans="3:7" x14ac:dyDescent="0.25">
      <c r="C574" s="9"/>
      <c r="G574" s="1"/>
    </row>
    <row r="575" spans="3:7" x14ac:dyDescent="0.25">
      <c r="C575" s="9"/>
      <c r="G575" s="1"/>
    </row>
    <row r="576" spans="3:7" x14ac:dyDescent="0.25">
      <c r="C576" s="9"/>
      <c r="G576" s="1"/>
    </row>
    <row r="577" spans="3:7" x14ac:dyDescent="0.25">
      <c r="C577" s="9"/>
      <c r="G577" s="1"/>
    </row>
    <row r="578" spans="3:7" x14ac:dyDescent="0.25">
      <c r="C578" s="9"/>
      <c r="G578" s="1"/>
    </row>
    <row r="579" spans="3:7" x14ac:dyDescent="0.25">
      <c r="C579" s="9"/>
      <c r="G579" s="1"/>
    </row>
    <row r="580" spans="3:7" x14ac:dyDescent="0.25">
      <c r="C580" s="9"/>
      <c r="G580" s="1"/>
    </row>
    <row r="581" spans="3:7" x14ac:dyDescent="0.25">
      <c r="C581" s="9"/>
      <c r="G581" s="1"/>
    </row>
    <row r="582" spans="3:7" x14ac:dyDescent="0.25">
      <c r="C582" s="9"/>
      <c r="G582" s="1"/>
    </row>
    <row r="583" spans="3:7" x14ac:dyDescent="0.25">
      <c r="C583" s="9"/>
      <c r="G583" s="1"/>
    </row>
    <row r="584" spans="3:7" x14ac:dyDescent="0.25">
      <c r="C584" s="9"/>
      <c r="G584" s="1"/>
    </row>
    <row r="585" spans="3:7" x14ac:dyDescent="0.25">
      <c r="C585" s="9"/>
      <c r="G585" s="1"/>
    </row>
    <row r="586" spans="3:7" x14ac:dyDescent="0.25">
      <c r="C586" s="9"/>
      <c r="G586" s="1"/>
    </row>
    <row r="587" spans="3:7" x14ac:dyDescent="0.25">
      <c r="C587" s="9"/>
      <c r="G587" s="1"/>
    </row>
    <row r="588" spans="3:7" x14ac:dyDescent="0.25">
      <c r="C588" s="9"/>
      <c r="G588" s="1"/>
    </row>
    <row r="589" spans="3:7" x14ac:dyDescent="0.25">
      <c r="C589" s="9"/>
      <c r="G589" s="1"/>
    </row>
    <row r="590" spans="3:7" x14ac:dyDescent="0.25">
      <c r="C590" s="9"/>
      <c r="G590" s="1"/>
    </row>
    <row r="591" spans="3:7" x14ac:dyDescent="0.25">
      <c r="C591" s="9"/>
      <c r="G591" s="1"/>
    </row>
    <row r="592" spans="3:7" x14ac:dyDescent="0.25">
      <c r="C592" s="9"/>
      <c r="G592" s="1"/>
    </row>
    <row r="593" spans="3:7" x14ac:dyDescent="0.25">
      <c r="C593" s="9"/>
      <c r="G593" s="1"/>
    </row>
    <row r="594" spans="3:7" x14ac:dyDescent="0.25">
      <c r="C594" s="9"/>
      <c r="G594" s="1"/>
    </row>
    <row r="595" spans="3:7" x14ac:dyDescent="0.25">
      <c r="C595" s="9"/>
      <c r="G595" s="1"/>
    </row>
    <row r="596" spans="3:7" x14ac:dyDescent="0.25">
      <c r="C596" s="9"/>
      <c r="G596" s="1"/>
    </row>
    <row r="597" spans="3:7" x14ac:dyDescent="0.25">
      <c r="C597" s="9"/>
      <c r="G597" s="1"/>
    </row>
    <row r="598" spans="3:7" x14ac:dyDescent="0.25">
      <c r="C598" s="9"/>
      <c r="G598" s="1"/>
    </row>
    <row r="599" spans="3:7" x14ac:dyDescent="0.25">
      <c r="C599" s="9"/>
      <c r="G599" s="1"/>
    </row>
    <row r="600" spans="3:7" x14ac:dyDescent="0.25">
      <c r="C600" s="9"/>
      <c r="G600" s="1"/>
    </row>
    <row r="601" spans="3:7" x14ac:dyDescent="0.25">
      <c r="C601" s="9"/>
      <c r="G601" s="1"/>
    </row>
    <row r="602" spans="3:7" x14ac:dyDescent="0.25">
      <c r="C602" s="9"/>
      <c r="G602" s="1"/>
    </row>
    <row r="603" spans="3:7" x14ac:dyDescent="0.25">
      <c r="C603" s="9"/>
      <c r="G603" s="1"/>
    </row>
    <row r="604" spans="3:7" x14ac:dyDescent="0.25">
      <c r="C604" s="9"/>
      <c r="G604" s="1"/>
    </row>
    <row r="605" spans="3:7" x14ac:dyDescent="0.25">
      <c r="C605" s="9"/>
      <c r="G605" s="1"/>
    </row>
    <row r="606" spans="3:7" x14ac:dyDescent="0.25">
      <c r="C606" s="9"/>
      <c r="G606" s="1"/>
    </row>
    <row r="607" spans="3:7" x14ac:dyDescent="0.25">
      <c r="C607" s="9"/>
      <c r="G607" s="1"/>
    </row>
    <row r="608" spans="3:7" x14ac:dyDescent="0.25">
      <c r="C608" s="9"/>
      <c r="G608" s="1"/>
    </row>
    <row r="609" spans="3:7" x14ac:dyDescent="0.25">
      <c r="C609" s="9"/>
      <c r="G609" s="1"/>
    </row>
    <row r="610" spans="3:7" x14ac:dyDescent="0.25">
      <c r="C610" s="9"/>
      <c r="G610" s="1"/>
    </row>
    <row r="611" spans="3:7" x14ac:dyDescent="0.25">
      <c r="C611" s="9"/>
      <c r="G611" s="1"/>
    </row>
    <row r="612" spans="3:7" x14ac:dyDescent="0.25">
      <c r="C612" s="9"/>
      <c r="G612" s="1"/>
    </row>
    <row r="613" spans="3:7" x14ac:dyDescent="0.25">
      <c r="C613" s="9"/>
      <c r="G613" s="1"/>
    </row>
    <row r="614" spans="3:7" x14ac:dyDescent="0.25">
      <c r="C614" s="9"/>
      <c r="G614" s="1"/>
    </row>
    <row r="615" spans="3:7" x14ac:dyDescent="0.25">
      <c r="C615" s="9"/>
      <c r="G615" s="1"/>
    </row>
    <row r="616" spans="3:7" x14ac:dyDescent="0.25">
      <c r="C616" s="9"/>
      <c r="G616" s="1"/>
    </row>
    <row r="617" spans="3:7" x14ac:dyDescent="0.25">
      <c r="C617" s="9"/>
      <c r="G617" s="1"/>
    </row>
    <row r="618" spans="3:7" x14ac:dyDescent="0.25">
      <c r="C618" s="9"/>
      <c r="G618" s="1"/>
    </row>
    <row r="619" spans="3:7" x14ac:dyDescent="0.25">
      <c r="C619" s="9"/>
      <c r="G619" s="1"/>
    </row>
    <row r="620" spans="3:7" x14ac:dyDescent="0.25">
      <c r="C620" s="9"/>
      <c r="G620" s="1"/>
    </row>
    <row r="621" spans="3:7" x14ac:dyDescent="0.25">
      <c r="C621" s="9"/>
      <c r="G621" s="1"/>
    </row>
    <row r="622" spans="3:7" x14ac:dyDescent="0.25">
      <c r="C622" s="9"/>
      <c r="G622" s="1"/>
    </row>
    <row r="623" spans="3:7" x14ac:dyDescent="0.25">
      <c r="C623" s="9"/>
      <c r="G623" s="1"/>
    </row>
    <row r="624" spans="3:7" x14ac:dyDescent="0.25">
      <c r="C624" s="9"/>
      <c r="G624" s="1"/>
    </row>
    <row r="625" spans="3:7" x14ac:dyDescent="0.25">
      <c r="C625" s="9"/>
      <c r="G625" s="1"/>
    </row>
    <row r="626" spans="3:7" x14ac:dyDescent="0.25">
      <c r="C626" s="9"/>
      <c r="G626" s="1"/>
    </row>
    <row r="627" spans="3:7" x14ac:dyDescent="0.25">
      <c r="C627" s="9"/>
      <c r="G627" s="1"/>
    </row>
    <row r="628" spans="3:7" x14ac:dyDescent="0.25">
      <c r="C628" s="9"/>
      <c r="G628" s="1"/>
    </row>
    <row r="629" spans="3:7" x14ac:dyDescent="0.25">
      <c r="C629" s="9"/>
      <c r="G629" s="1"/>
    </row>
    <row r="630" spans="3:7" x14ac:dyDescent="0.25">
      <c r="C630" s="9"/>
      <c r="G630" s="1"/>
    </row>
    <row r="631" spans="3:7" x14ac:dyDescent="0.25">
      <c r="C631" s="9"/>
      <c r="G631" s="1"/>
    </row>
    <row r="632" spans="3:7" x14ac:dyDescent="0.25">
      <c r="C632" s="9"/>
      <c r="G632" s="1"/>
    </row>
    <row r="633" spans="3:7" x14ac:dyDescent="0.25">
      <c r="C633" s="9"/>
      <c r="G633" s="1"/>
    </row>
    <row r="634" spans="3:7" x14ac:dyDescent="0.25">
      <c r="C634" s="9"/>
      <c r="G634" s="1"/>
    </row>
    <row r="635" spans="3:7" x14ac:dyDescent="0.25">
      <c r="C635" s="9"/>
      <c r="G635" s="1"/>
    </row>
    <row r="636" spans="3:7" x14ac:dyDescent="0.25">
      <c r="C636" s="9"/>
      <c r="G636" s="1"/>
    </row>
    <row r="637" spans="3:7" x14ac:dyDescent="0.25">
      <c r="C637" s="9"/>
      <c r="G637" s="1"/>
    </row>
    <row r="638" spans="3:7" x14ac:dyDescent="0.25">
      <c r="C638" s="9"/>
      <c r="G638" s="1"/>
    </row>
    <row r="639" spans="3:7" x14ac:dyDescent="0.25">
      <c r="C639" s="9"/>
      <c r="G639" s="1"/>
    </row>
    <row r="640" spans="3:7" x14ac:dyDescent="0.25">
      <c r="C640" s="9"/>
      <c r="G640" s="1"/>
    </row>
    <row r="641" spans="3:7" x14ac:dyDescent="0.25">
      <c r="C641" s="9"/>
      <c r="G641" s="1"/>
    </row>
    <row r="642" spans="3:7" x14ac:dyDescent="0.25">
      <c r="C642" s="9"/>
      <c r="G642" s="1"/>
    </row>
    <row r="643" spans="3:7" x14ac:dyDescent="0.25">
      <c r="C643" s="9"/>
      <c r="G643" s="1"/>
    </row>
    <row r="644" spans="3:7" x14ac:dyDescent="0.25">
      <c r="C644" s="9"/>
      <c r="G644" s="1"/>
    </row>
    <row r="645" spans="3:7" x14ac:dyDescent="0.25">
      <c r="C645" s="9"/>
      <c r="G645" s="1"/>
    </row>
    <row r="646" spans="3:7" x14ac:dyDescent="0.25">
      <c r="C646" s="9"/>
      <c r="G646" s="1"/>
    </row>
    <row r="647" spans="3:7" x14ac:dyDescent="0.25">
      <c r="C647" s="9"/>
      <c r="G647" s="1"/>
    </row>
    <row r="648" spans="3:7" x14ac:dyDescent="0.25">
      <c r="C648" s="9"/>
      <c r="G648" s="1"/>
    </row>
    <row r="649" spans="3:7" x14ac:dyDescent="0.25">
      <c r="C649" s="9"/>
      <c r="G649" s="1"/>
    </row>
    <row r="650" spans="3:7" x14ac:dyDescent="0.25">
      <c r="C650" s="9"/>
      <c r="G650" s="1"/>
    </row>
    <row r="651" spans="3:7" x14ac:dyDescent="0.25">
      <c r="C651" s="9"/>
      <c r="G651" s="1"/>
    </row>
    <row r="652" spans="3:7" x14ac:dyDescent="0.25">
      <c r="C652" s="9"/>
      <c r="G652" s="1"/>
    </row>
    <row r="653" spans="3:7" x14ac:dyDescent="0.25">
      <c r="C653" s="9"/>
      <c r="G653" s="1"/>
    </row>
    <row r="654" spans="3:7" x14ac:dyDescent="0.25">
      <c r="C654" s="9"/>
      <c r="G654" s="1"/>
    </row>
    <row r="655" spans="3:7" x14ac:dyDescent="0.25">
      <c r="C655" s="9"/>
      <c r="G655" s="1"/>
    </row>
    <row r="656" spans="3:7" x14ac:dyDescent="0.25">
      <c r="C656" s="9"/>
      <c r="G656" s="1"/>
    </row>
    <row r="657" spans="3:7" x14ac:dyDescent="0.25">
      <c r="C657" s="9"/>
      <c r="G657" s="1"/>
    </row>
    <row r="658" spans="3:7" x14ac:dyDescent="0.25">
      <c r="C658" s="9"/>
      <c r="G658" s="1"/>
    </row>
    <row r="659" spans="3:7" x14ac:dyDescent="0.25">
      <c r="C659" s="9"/>
      <c r="G659" s="1"/>
    </row>
    <row r="660" spans="3:7" x14ac:dyDescent="0.25">
      <c r="C660" s="9"/>
      <c r="G660" s="1"/>
    </row>
    <row r="661" spans="3:7" x14ac:dyDescent="0.25">
      <c r="C661" s="9"/>
      <c r="G661" s="1"/>
    </row>
    <row r="662" spans="3:7" x14ac:dyDescent="0.25">
      <c r="C662" s="9"/>
      <c r="G662" s="1"/>
    </row>
    <row r="663" spans="3:7" x14ac:dyDescent="0.25">
      <c r="C663" s="9"/>
      <c r="G663" s="1"/>
    </row>
    <row r="664" spans="3:7" x14ac:dyDescent="0.25">
      <c r="C664" s="9"/>
      <c r="G664" s="1"/>
    </row>
    <row r="665" spans="3:7" x14ac:dyDescent="0.25">
      <c r="C665" s="9"/>
      <c r="G665" s="1"/>
    </row>
    <row r="666" spans="3:7" x14ac:dyDescent="0.25">
      <c r="C666" s="9"/>
      <c r="G666" s="1"/>
    </row>
    <row r="667" spans="3:7" x14ac:dyDescent="0.25">
      <c r="C667" s="9"/>
      <c r="G667" s="1"/>
    </row>
    <row r="668" spans="3:7" x14ac:dyDescent="0.25">
      <c r="C668" s="9"/>
      <c r="G668" s="1"/>
    </row>
    <row r="669" spans="3:7" x14ac:dyDescent="0.25">
      <c r="C669" s="9"/>
      <c r="G669" s="1"/>
    </row>
    <row r="670" spans="3:7" x14ac:dyDescent="0.25">
      <c r="C670" s="9"/>
      <c r="G670" s="1"/>
    </row>
    <row r="671" spans="3:7" x14ac:dyDescent="0.25">
      <c r="C671" s="9"/>
      <c r="G671" s="1"/>
    </row>
    <row r="672" spans="3:7" x14ac:dyDescent="0.25">
      <c r="C672" s="9"/>
      <c r="G672" s="1"/>
    </row>
    <row r="673" spans="3:7" x14ac:dyDescent="0.25">
      <c r="C673" s="9"/>
      <c r="G673" s="1"/>
    </row>
    <row r="674" spans="3:7" x14ac:dyDescent="0.25">
      <c r="C674" s="9"/>
      <c r="G674" s="1"/>
    </row>
    <row r="675" spans="3:7" x14ac:dyDescent="0.25">
      <c r="C675" s="9"/>
      <c r="G675" s="1"/>
    </row>
    <row r="676" spans="3:7" x14ac:dyDescent="0.25">
      <c r="C676" s="9"/>
      <c r="G676" s="1"/>
    </row>
    <row r="677" spans="3:7" x14ac:dyDescent="0.25">
      <c r="C677" s="9"/>
      <c r="G677" s="1"/>
    </row>
    <row r="678" spans="3:7" x14ac:dyDescent="0.25">
      <c r="C678" s="9"/>
      <c r="G678" s="1"/>
    </row>
    <row r="679" spans="3:7" x14ac:dyDescent="0.25">
      <c r="C679" s="9"/>
      <c r="G679" s="1"/>
    </row>
    <row r="680" spans="3:7" x14ac:dyDescent="0.25">
      <c r="C680" s="9"/>
      <c r="G680" s="1"/>
    </row>
    <row r="681" spans="3:7" x14ac:dyDescent="0.25">
      <c r="C681" s="9"/>
      <c r="G681" s="1"/>
    </row>
    <row r="682" spans="3:7" x14ac:dyDescent="0.25">
      <c r="C682" s="9"/>
      <c r="G682" s="1"/>
    </row>
    <row r="683" spans="3:7" x14ac:dyDescent="0.25">
      <c r="C683" s="9"/>
      <c r="G683" s="1"/>
    </row>
    <row r="684" spans="3:7" x14ac:dyDescent="0.25">
      <c r="C684" s="9"/>
      <c r="G684" s="1"/>
    </row>
    <row r="685" spans="3:7" x14ac:dyDescent="0.25">
      <c r="C685" s="9"/>
      <c r="G685" s="1"/>
    </row>
    <row r="686" spans="3:7" x14ac:dyDescent="0.25">
      <c r="C686" s="9"/>
      <c r="G686" s="1"/>
    </row>
    <row r="687" spans="3:7" x14ac:dyDescent="0.25">
      <c r="C687" s="9"/>
      <c r="G687" s="1"/>
    </row>
    <row r="688" spans="3:7" x14ac:dyDescent="0.25">
      <c r="C688" s="9"/>
      <c r="G688" s="1"/>
    </row>
    <row r="689" spans="3:7" x14ac:dyDescent="0.25">
      <c r="C689" s="9"/>
      <c r="G689" s="1"/>
    </row>
    <row r="690" spans="3:7" x14ac:dyDescent="0.25">
      <c r="C690" s="9"/>
      <c r="G690" s="1"/>
    </row>
    <row r="691" spans="3:7" x14ac:dyDescent="0.25">
      <c r="C691" s="9"/>
      <c r="G691" s="1"/>
    </row>
    <row r="692" spans="3:7" x14ac:dyDescent="0.25">
      <c r="C692" s="9"/>
      <c r="G692" s="1"/>
    </row>
    <row r="693" spans="3:7" x14ac:dyDescent="0.25">
      <c r="C693" s="9"/>
      <c r="G693" s="1"/>
    </row>
    <row r="694" spans="3:7" x14ac:dyDescent="0.25">
      <c r="C694" s="9"/>
      <c r="G694" s="1"/>
    </row>
    <row r="695" spans="3:7" x14ac:dyDescent="0.25">
      <c r="C695" s="9"/>
      <c r="G695" s="1"/>
    </row>
    <row r="696" spans="3:7" x14ac:dyDescent="0.25">
      <c r="C696" s="9"/>
      <c r="G696" s="1"/>
    </row>
    <row r="697" spans="3:7" x14ac:dyDescent="0.25">
      <c r="C697" s="9"/>
      <c r="G697" s="1"/>
    </row>
    <row r="698" spans="3:7" x14ac:dyDescent="0.25">
      <c r="C698" s="9"/>
      <c r="G698" s="1"/>
    </row>
    <row r="699" spans="3:7" x14ac:dyDescent="0.25">
      <c r="C699" s="9"/>
      <c r="G699" s="1"/>
    </row>
    <row r="700" spans="3:7" x14ac:dyDescent="0.25">
      <c r="C700" s="9"/>
      <c r="G700" s="1"/>
    </row>
    <row r="701" spans="3:7" x14ac:dyDescent="0.25">
      <c r="C701" s="9"/>
      <c r="G701" s="1"/>
    </row>
    <row r="702" spans="3:7" x14ac:dyDescent="0.25">
      <c r="C702" s="9"/>
      <c r="G702" s="1"/>
    </row>
    <row r="703" spans="3:7" x14ac:dyDescent="0.25">
      <c r="C703" s="9"/>
      <c r="G703" s="1"/>
    </row>
    <row r="704" spans="3:7" x14ac:dyDescent="0.25">
      <c r="C704" s="9"/>
      <c r="G704" s="1"/>
    </row>
    <row r="705" spans="3:7" x14ac:dyDescent="0.25">
      <c r="C705" s="9"/>
      <c r="G705" s="1"/>
    </row>
    <row r="706" spans="3:7" x14ac:dyDescent="0.25">
      <c r="C706" s="9"/>
      <c r="G706" s="1"/>
    </row>
    <row r="707" spans="3:7" x14ac:dyDescent="0.25">
      <c r="C707" s="9"/>
      <c r="G707" s="1"/>
    </row>
    <row r="708" spans="3:7" x14ac:dyDescent="0.25">
      <c r="C708" s="9"/>
      <c r="G708" s="1"/>
    </row>
    <row r="709" spans="3:7" x14ac:dyDescent="0.25">
      <c r="C709" s="9"/>
      <c r="G709" s="1"/>
    </row>
    <row r="710" spans="3:7" x14ac:dyDescent="0.25">
      <c r="C710" s="9"/>
      <c r="G710" s="1"/>
    </row>
    <row r="711" spans="3:7" x14ac:dyDescent="0.25">
      <c r="C711" s="9"/>
      <c r="G711" s="1"/>
    </row>
    <row r="712" spans="3:7" x14ac:dyDescent="0.25">
      <c r="C712" s="9"/>
      <c r="G712" s="1"/>
    </row>
    <row r="713" spans="3:7" x14ac:dyDescent="0.25">
      <c r="C713" s="9"/>
      <c r="G713" s="1"/>
    </row>
    <row r="714" spans="3:7" x14ac:dyDescent="0.25">
      <c r="C714" s="9"/>
      <c r="G714" s="1"/>
    </row>
    <row r="715" spans="3:7" x14ac:dyDescent="0.25">
      <c r="C715" s="9"/>
      <c r="G715" s="1"/>
    </row>
    <row r="716" spans="3:7" x14ac:dyDescent="0.25">
      <c r="C716" s="9"/>
      <c r="G716" s="1"/>
    </row>
    <row r="717" spans="3:7" x14ac:dyDescent="0.25">
      <c r="C717" s="9"/>
      <c r="G717" s="1"/>
    </row>
    <row r="718" spans="3:7" x14ac:dyDescent="0.25">
      <c r="C718" s="9"/>
      <c r="G718" s="1"/>
    </row>
    <row r="719" spans="3:7" x14ac:dyDescent="0.25">
      <c r="C719" s="9"/>
      <c r="G719" s="1"/>
    </row>
    <row r="720" spans="3:7" x14ac:dyDescent="0.25">
      <c r="C720" s="9"/>
      <c r="G720" s="1"/>
    </row>
    <row r="721" spans="3:7" x14ac:dyDescent="0.25">
      <c r="C721" s="9"/>
      <c r="G721" s="1"/>
    </row>
    <row r="722" spans="3:7" x14ac:dyDescent="0.25">
      <c r="C722" s="9"/>
      <c r="G722" s="1"/>
    </row>
    <row r="723" spans="3:7" x14ac:dyDescent="0.25">
      <c r="C723" s="9"/>
      <c r="G723" s="1"/>
    </row>
    <row r="724" spans="3:7" x14ac:dyDescent="0.25">
      <c r="C724" s="9"/>
      <c r="G724" s="1"/>
    </row>
    <row r="725" spans="3:7" x14ac:dyDescent="0.25">
      <c r="C725" s="9"/>
      <c r="G725" s="1"/>
    </row>
    <row r="726" spans="3:7" x14ac:dyDescent="0.25">
      <c r="C726" s="9"/>
      <c r="G726" s="1"/>
    </row>
    <row r="727" spans="3:7" x14ac:dyDescent="0.25">
      <c r="C727" s="9"/>
      <c r="G727" s="1"/>
    </row>
    <row r="728" spans="3:7" x14ac:dyDescent="0.25">
      <c r="C728" s="9"/>
      <c r="G728" s="1"/>
    </row>
    <row r="729" spans="3:7" x14ac:dyDescent="0.25">
      <c r="C729" s="9"/>
      <c r="G729" s="1"/>
    </row>
    <row r="730" spans="3:7" x14ac:dyDescent="0.25">
      <c r="C730" s="9"/>
      <c r="G730" s="1"/>
    </row>
    <row r="731" spans="3:7" x14ac:dyDescent="0.25">
      <c r="C731" s="9"/>
      <c r="G731" s="1"/>
    </row>
    <row r="732" spans="3:7" x14ac:dyDescent="0.25">
      <c r="C732" s="9"/>
      <c r="G732" s="1"/>
    </row>
    <row r="733" spans="3:7" x14ac:dyDescent="0.25">
      <c r="C733" s="9"/>
      <c r="G733" s="1"/>
    </row>
    <row r="734" spans="3:7" x14ac:dyDescent="0.25">
      <c r="C734" s="9"/>
      <c r="G734" s="1"/>
    </row>
    <row r="735" spans="3:7" x14ac:dyDescent="0.25">
      <c r="C735" s="9"/>
      <c r="G735" s="1"/>
    </row>
    <row r="736" spans="3:7" x14ac:dyDescent="0.25">
      <c r="C736" s="9"/>
      <c r="G736" s="1"/>
    </row>
    <row r="737" spans="3:7" x14ac:dyDescent="0.25">
      <c r="C737" s="9"/>
      <c r="G737" s="1"/>
    </row>
    <row r="738" spans="3:7" x14ac:dyDescent="0.25">
      <c r="C738" s="9"/>
      <c r="G738" s="1"/>
    </row>
    <row r="739" spans="3:7" x14ac:dyDescent="0.25">
      <c r="C739" s="9"/>
      <c r="G739" s="1"/>
    </row>
    <row r="740" spans="3:7" x14ac:dyDescent="0.25">
      <c r="C740" s="9"/>
      <c r="G740" s="1"/>
    </row>
    <row r="741" spans="3:7" x14ac:dyDescent="0.25">
      <c r="C741" s="9"/>
      <c r="G741" s="1"/>
    </row>
    <row r="742" spans="3:7" x14ac:dyDescent="0.25">
      <c r="C742" s="9"/>
      <c r="G742" s="1"/>
    </row>
    <row r="743" spans="3:7" x14ac:dyDescent="0.25">
      <c r="C743" s="9"/>
      <c r="G743" s="1"/>
    </row>
    <row r="744" spans="3:7" x14ac:dyDescent="0.25">
      <c r="C744" s="9"/>
      <c r="G744" s="1"/>
    </row>
    <row r="745" spans="3:7" x14ac:dyDescent="0.25">
      <c r="C745" s="9"/>
      <c r="G745" s="1"/>
    </row>
    <row r="746" spans="3:7" x14ac:dyDescent="0.25">
      <c r="C746" s="9"/>
      <c r="G746" s="1"/>
    </row>
    <row r="747" spans="3:7" x14ac:dyDescent="0.25">
      <c r="C747" s="9"/>
      <c r="G747" s="1"/>
    </row>
    <row r="748" spans="3:7" x14ac:dyDescent="0.25">
      <c r="C748" s="9"/>
      <c r="G748" s="1"/>
    </row>
    <row r="749" spans="3:7" x14ac:dyDescent="0.25">
      <c r="C749" s="9"/>
      <c r="G749" s="1"/>
    </row>
    <row r="750" spans="3:7" x14ac:dyDescent="0.25">
      <c r="C750" s="9"/>
      <c r="G750" s="1"/>
    </row>
    <row r="751" spans="3:7" x14ac:dyDescent="0.25">
      <c r="C751" s="9"/>
      <c r="G751" s="1"/>
    </row>
    <row r="752" spans="3:7" x14ac:dyDescent="0.25">
      <c r="C752" s="9"/>
      <c r="G752" s="1"/>
    </row>
    <row r="753" spans="3:7" x14ac:dyDescent="0.25">
      <c r="C753" s="9"/>
      <c r="G753" s="1"/>
    </row>
    <row r="754" spans="3:7" x14ac:dyDescent="0.25">
      <c r="C754" s="9"/>
      <c r="G754" s="1"/>
    </row>
    <row r="755" spans="3:7" x14ac:dyDescent="0.25">
      <c r="C755" s="9"/>
      <c r="G755" s="1"/>
    </row>
    <row r="756" spans="3:7" x14ac:dyDescent="0.25">
      <c r="C756" s="9"/>
      <c r="G756" s="1"/>
    </row>
    <row r="757" spans="3:7" x14ac:dyDescent="0.25">
      <c r="C757" s="9"/>
      <c r="G757" s="1"/>
    </row>
    <row r="758" spans="3:7" x14ac:dyDescent="0.25">
      <c r="C758" s="9"/>
      <c r="G758" s="1"/>
    </row>
    <row r="759" spans="3:7" x14ac:dyDescent="0.25">
      <c r="C759" s="9"/>
      <c r="G759" s="1"/>
    </row>
    <row r="760" spans="3:7" x14ac:dyDescent="0.25">
      <c r="C760" s="9"/>
      <c r="G760" s="1"/>
    </row>
    <row r="761" spans="3:7" x14ac:dyDescent="0.25">
      <c r="C761" s="9"/>
      <c r="G761" s="1"/>
    </row>
    <row r="762" spans="3:7" x14ac:dyDescent="0.25">
      <c r="C762" s="9"/>
      <c r="G762" s="1"/>
    </row>
    <row r="763" spans="3:7" x14ac:dyDescent="0.25">
      <c r="C763" s="9"/>
      <c r="G763" s="1"/>
    </row>
    <row r="764" spans="3:7" x14ac:dyDescent="0.25">
      <c r="C764" s="9"/>
      <c r="G764" s="1"/>
    </row>
    <row r="765" spans="3:7" x14ac:dyDescent="0.25">
      <c r="C765" s="9"/>
      <c r="G765" s="1"/>
    </row>
    <row r="766" spans="3:7" x14ac:dyDescent="0.25">
      <c r="C766" s="9"/>
      <c r="G766" s="1"/>
    </row>
    <row r="767" spans="3:7" x14ac:dyDescent="0.25">
      <c r="C767" s="9"/>
      <c r="G767" s="1"/>
    </row>
    <row r="768" spans="3:7" x14ac:dyDescent="0.25">
      <c r="C768" s="9"/>
      <c r="G768" s="1"/>
    </row>
    <row r="769" spans="3:7" x14ac:dyDescent="0.25">
      <c r="C769" s="9"/>
      <c r="G769" s="1"/>
    </row>
    <row r="770" spans="3:7" x14ac:dyDescent="0.25">
      <c r="C770" s="9"/>
      <c r="G770" s="1"/>
    </row>
    <row r="771" spans="3:7" x14ac:dyDescent="0.25">
      <c r="C771" s="9"/>
      <c r="G771" s="1"/>
    </row>
    <row r="772" spans="3:7" x14ac:dyDescent="0.25">
      <c r="C772" s="9"/>
      <c r="G772" s="1"/>
    </row>
    <row r="773" spans="3:7" x14ac:dyDescent="0.25">
      <c r="C773" s="9"/>
      <c r="G773" s="1"/>
    </row>
    <row r="774" spans="3:7" x14ac:dyDescent="0.25">
      <c r="C774" s="9"/>
      <c r="G774" s="1"/>
    </row>
    <row r="775" spans="3:7" x14ac:dyDescent="0.25">
      <c r="C775" s="9"/>
      <c r="G775" s="1"/>
    </row>
    <row r="776" spans="3:7" x14ac:dyDescent="0.25">
      <c r="C776" s="9"/>
      <c r="G776" s="1"/>
    </row>
    <row r="777" spans="3:7" x14ac:dyDescent="0.25">
      <c r="C777" s="9"/>
      <c r="G777" s="1"/>
    </row>
    <row r="778" spans="3:7" x14ac:dyDescent="0.25">
      <c r="C778" s="9"/>
      <c r="G778" s="1"/>
    </row>
    <row r="779" spans="3:7" x14ac:dyDescent="0.25">
      <c r="C779" s="9"/>
      <c r="G779" s="1"/>
    </row>
    <row r="780" spans="3:7" x14ac:dyDescent="0.25">
      <c r="C780" s="9"/>
      <c r="G780" s="1"/>
    </row>
    <row r="781" spans="3:7" x14ac:dyDescent="0.25">
      <c r="C781" s="9"/>
      <c r="G781" s="1"/>
    </row>
    <row r="782" spans="3:7" x14ac:dyDescent="0.25">
      <c r="C782" s="9"/>
      <c r="G782" s="1"/>
    </row>
    <row r="783" spans="3:7" x14ac:dyDescent="0.25">
      <c r="C783" s="9"/>
      <c r="G783" s="1"/>
    </row>
    <row r="784" spans="3:7" x14ac:dyDescent="0.25">
      <c r="C784" s="9"/>
      <c r="G784" s="1"/>
    </row>
    <row r="785" spans="3:7" x14ac:dyDescent="0.25">
      <c r="C785" s="9"/>
      <c r="G785" s="1"/>
    </row>
    <row r="786" spans="3:7" x14ac:dyDescent="0.25">
      <c r="C786" s="9"/>
      <c r="G786" s="1"/>
    </row>
    <row r="787" spans="3:7" x14ac:dyDescent="0.25">
      <c r="C787" s="9"/>
      <c r="G787" s="1"/>
    </row>
    <row r="788" spans="3:7" x14ac:dyDescent="0.25">
      <c r="C788" s="9"/>
      <c r="G788" s="1"/>
    </row>
    <row r="789" spans="3:7" x14ac:dyDescent="0.25">
      <c r="C789" s="9"/>
      <c r="G789" s="1"/>
    </row>
    <row r="790" spans="3:7" x14ac:dyDescent="0.25">
      <c r="C790" s="9"/>
      <c r="G790" s="1"/>
    </row>
    <row r="791" spans="3:7" x14ac:dyDescent="0.25">
      <c r="C791" s="9"/>
      <c r="G791" s="1"/>
    </row>
    <row r="792" spans="3:7" x14ac:dyDescent="0.25">
      <c r="C792" s="9"/>
      <c r="G792" s="1"/>
    </row>
    <row r="793" spans="3:7" x14ac:dyDescent="0.25">
      <c r="C793" s="9"/>
      <c r="G793" s="1"/>
    </row>
    <row r="794" spans="3:7" x14ac:dyDescent="0.25">
      <c r="C794" s="9"/>
      <c r="G794" s="1"/>
    </row>
    <row r="795" spans="3:7" x14ac:dyDescent="0.25">
      <c r="C795" s="9"/>
      <c r="G795" s="1"/>
    </row>
    <row r="796" spans="3:7" x14ac:dyDescent="0.25">
      <c r="C796" s="9"/>
      <c r="G796" s="1"/>
    </row>
    <row r="797" spans="3:7" x14ac:dyDescent="0.25">
      <c r="C797" s="9"/>
      <c r="G797" s="1"/>
    </row>
    <row r="798" spans="3:7" x14ac:dyDescent="0.25">
      <c r="C798" s="9"/>
      <c r="G798" s="1"/>
    </row>
    <row r="799" spans="3:7" x14ac:dyDescent="0.25">
      <c r="C799" s="9"/>
      <c r="G799" s="1"/>
    </row>
    <row r="800" spans="3:7" x14ac:dyDescent="0.25">
      <c r="C800" s="9"/>
      <c r="G800" s="1"/>
    </row>
    <row r="801" spans="3:7" x14ac:dyDescent="0.25">
      <c r="C801" s="9"/>
      <c r="G801" s="1"/>
    </row>
    <row r="802" spans="3:7" x14ac:dyDescent="0.25">
      <c r="C802" s="9"/>
      <c r="G802" s="1"/>
    </row>
    <row r="803" spans="3:7" x14ac:dyDescent="0.25">
      <c r="C803" s="9"/>
      <c r="G803" s="1"/>
    </row>
    <row r="804" spans="3:7" x14ac:dyDescent="0.25">
      <c r="C804" s="9"/>
      <c r="G804" s="1"/>
    </row>
    <row r="805" spans="3:7" x14ac:dyDescent="0.25">
      <c r="C805" s="9"/>
      <c r="G805" s="1"/>
    </row>
    <row r="806" spans="3:7" x14ac:dyDescent="0.25">
      <c r="C806" s="9"/>
      <c r="G806" s="1"/>
    </row>
    <row r="807" spans="3:7" x14ac:dyDescent="0.25">
      <c r="C807" s="9"/>
      <c r="G807" s="1"/>
    </row>
    <row r="808" spans="3:7" x14ac:dyDescent="0.25">
      <c r="C808" s="9"/>
      <c r="G808" s="1"/>
    </row>
    <row r="809" spans="3:7" x14ac:dyDescent="0.25">
      <c r="C809" s="9"/>
      <c r="G809" s="1"/>
    </row>
    <row r="810" spans="3:7" x14ac:dyDescent="0.25">
      <c r="C810" s="9"/>
      <c r="G810" s="1"/>
    </row>
    <row r="811" spans="3:7" x14ac:dyDescent="0.25">
      <c r="C811" s="9"/>
      <c r="G811" s="1"/>
    </row>
    <row r="812" spans="3:7" x14ac:dyDescent="0.25">
      <c r="C812" s="9"/>
      <c r="G812" s="1"/>
    </row>
    <row r="813" spans="3:7" x14ac:dyDescent="0.25">
      <c r="C813" s="9"/>
      <c r="G813" s="1"/>
    </row>
    <row r="814" spans="3:7" x14ac:dyDescent="0.25">
      <c r="C814" s="9"/>
      <c r="G814" s="1"/>
    </row>
    <row r="815" spans="3:7" x14ac:dyDescent="0.25">
      <c r="C815" s="9"/>
      <c r="G815" s="1"/>
    </row>
    <row r="816" spans="3:7" x14ac:dyDescent="0.25">
      <c r="C816" s="9"/>
      <c r="G816" s="1"/>
    </row>
    <row r="817" spans="3:7" x14ac:dyDescent="0.25">
      <c r="C817" s="9"/>
      <c r="G817" s="1"/>
    </row>
    <row r="818" spans="3:7" x14ac:dyDescent="0.25">
      <c r="C818" s="9"/>
      <c r="G818" s="1"/>
    </row>
    <row r="819" spans="3:7" x14ac:dyDescent="0.25">
      <c r="C819" s="9"/>
      <c r="G819" s="1"/>
    </row>
    <row r="820" spans="3:7" x14ac:dyDescent="0.25">
      <c r="C820" s="9"/>
      <c r="G820" s="1"/>
    </row>
    <row r="821" spans="3:7" x14ac:dyDescent="0.25">
      <c r="C821" s="9"/>
      <c r="G821" s="1"/>
    </row>
    <row r="822" spans="3:7" x14ac:dyDescent="0.25">
      <c r="C822" s="9"/>
      <c r="G822" s="1"/>
    </row>
    <row r="823" spans="3:7" x14ac:dyDescent="0.25">
      <c r="C823" s="9"/>
      <c r="G823" s="1"/>
    </row>
    <row r="824" spans="3:7" x14ac:dyDescent="0.25">
      <c r="C824" s="9"/>
      <c r="G824" s="1"/>
    </row>
    <row r="825" spans="3:7" x14ac:dyDescent="0.25">
      <c r="C825" s="9"/>
      <c r="G825" s="1"/>
    </row>
    <row r="826" spans="3:7" x14ac:dyDescent="0.25">
      <c r="C826" s="9"/>
      <c r="G826" s="1"/>
    </row>
    <row r="827" spans="3:7" x14ac:dyDescent="0.25">
      <c r="C827" s="9"/>
      <c r="G827" s="1"/>
    </row>
    <row r="828" spans="3:7" x14ac:dyDescent="0.25">
      <c r="C828" s="9"/>
      <c r="G828" s="1"/>
    </row>
    <row r="829" spans="3:7" x14ac:dyDescent="0.25">
      <c r="C829" s="9"/>
      <c r="G829" s="1"/>
    </row>
    <row r="830" spans="3:7" x14ac:dyDescent="0.25">
      <c r="C830" s="9"/>
      <c r="G830" s="1"/>
    </row>
    <row r="831" spans="3:7" x14ac:dyDescent="0.25">
      <c r="C831" s="9"/>
      <c r="G831" s="1"/>
    </row>
    <row r="832" spans="3:7" x14ac:dyDescent="0.25">
      <c r="C832" s="9"/>
      <c r="G832" s="1"/>
    </row>
    <row r="833" spans="3:7" x14ac:dyDescent="0.25">
      <c r="C833" s="9"/>
      <c r="G833" s="1"/>
    </row>
    <row r="834" spans="3:7" x14ac:dyDescent="0.25">
      <c r="C834" s="9"/>
      <c r="G834" s="1"/>
    </row>
    <row r="835" spans="3:7" x14ac:dyDescent="0.25">
      <c r="C835" s="9"/>
      <c r="G835" s="1"/>
    </row>
    <row r="836" spans="3:7" x14ac:dyDescent="0.25">
      <c r="C836" s="9"/>
      <c r="G836" s="1"/>
    </row>
    <row r="837" spans="3:7" x14ac:dyDescent="0.25">
      <c r="C837" s="9"/>
      <c r="G837" s="1"/>
    </row>
    <row r="838" spans="3:7" x14ac:dyDescent="0.25">
      <c r="C838" s="9"/>
      <c r="G838" s="1"/>
    </row>
    <row r="839" spans="3:7" x14ac:dyDescent="0.25">
      <c r="C839" s="9"/>
      <c r="G839" s="1"/>
    </row>
    <row r="840" spans="3:7" x14ac:dyDescent="0.25">
      <c r="C840" s="9"/>
      <c r="G840" s="1"/>
    </row>
    <row r="841" spans="3:7" x14ac:dyDescent="0.25">
      <c r="C841" s="9"/>
      <c r="G841" s="1"/>
    </row>
    <row r="842" spans="3:7" x14ac:dyDescent="0.25">
      <c r="C842" s="9"/>
      <c r="G842" s="1"/>
    </row>
    <row r="843" spans="3:7" x14ac:dyDescent="0.25">
      <c r="C843" s="9"/>
      <c r="G843" s="1"/>
    </row>
    <row r="844" spans="3:7" x14ac:dyDescent="0.25">
      <c r="C844" s="9"/>
      <c r="G844" s="1"/>
    </row>
    <row r="845" spans="3:7" x14ac:dyDescent="0.25">
      <c r="C845" s="9"/>
      <c r="G845" s="1"/>
    </row>
    <row r="846" spans="3:7" x14ac:dyDescent="0.25">
      <c r="C846" s="9"/>
      <c r="G846" s="1"/>
    </row>
    <row r="847" spans="3:7" x14ac:dyDescent="0.25">
      <c r="C847" s="9"/>
      <c r="G847" s="1"/>
    </row>
    <row r="848" spans="3:7" x14ac:dyDescent="0.25">
      <c r="C848" s="9"/>
      <c r="G848" s="1"/>
    </row>
    <row r="849" spans="3:7" x14ac:dyDescent="0.25">
      <c r="C849" s="9"/>
      <c r="G849" s="1"/>
    </row>
    <row r="850" spans="3:7" x14ac:dyDescent="0.25">
      <c r="C850" s="9"/>
      <c r="G850" s="1"/>
    </row>
    <row r="851" spans="3:7" x14ac:dyDescent="0.25">
      <c r="C851" s="9"/>
      <c r="G851" s="1"/>
    </row>
    <row r="852" spans="3:7" x14ac:dyDescent="0.25">
      <c r="C852" s="9"/>
      <c r="G852" s="1"/>
    </row>
    <row r="853" spans="3:7" x14ac:dyDescent="0.25">
      <c r="C853" s="9"/>
      <c r="G853" s="1"/>
    </row>
    <row r="854" spans="3:7" x14ac:dyDescent="0.25">
      <c r="C854" s="9"/>
      <c r="G854" s="1"/>
    </row>
    <row r="855" spans="3:7" x14ac:dyDescent="0.25">
      <c r="C855" s="9"/>
      <c r="G855" s="1"/>
    </row>
    <row r="856" spans="3:7" x14ac:dyDescent="0.25">
      <c r="C856" s="9"/>
      <c r="G856" s="1"/>
    </row>
    <row r="857" spans="3:7" x14ac:dyDescent="0.25">
      <c r="C857" s="9"/>
      <c r="G857" s="1"/>
    </row>
    <row r="858" spans="3:7" x14ac:dyDescent="0.25">
      <c r="C858" s="9"/>
      <c r="G858" s="1"/>
    </row>
    <row r="859" spans="3:7" x14ac:dyDescent="0.25">
      <c r="C859" s="9"/>
      <c r="G859" s="1"/>
    </row>
    <row r="860" spans="3:7" x14ac:dyDescent="0.25">
      <c r="C860" s="9"/>
      <c r="G860" s="1"/>
    </row>
    <row r="861" spans="3:7" x14ac:dyDescent="0.25">
      <c r="C861" s="9"/>
      <c r="G861" s="1"/>
    </row>
    <row r="862" spans="3:7" x14ac:dyDescent="0.25">
      <c r="C862" s="9"/>
      <c r="G862" s="1"/>
    </row>
    <row r="863" spans="3:7" x14ac:dyDescent="0.25">
      <c r="C863" s="9"/>
      <c r="G863" s="1"/>
    </row>
    <row r="864" spans="3:7" x14ac:dyDescent="0.25">
      <c r="C864" s="9"/>
      <c r="G864" s="1"/>
    </row>
    <row r="865" spans="3:7" x14ac:dyDescent="0.25">
      <c r="C865" s="9"/>
      <c r="G865" s="1"/>
    </row>
    <row r="866" spans="3:7" x14ac:dyDescent="0.25">
      <c r="C866" s="9"/>
      <c r="G866" s="1"/>
    </row>
    <row r="867" spans="3:7" x14ac:dyDescent="0.25">
      <c r="C867" s="9"/>
      <c r="G867" s="1"/>
    </row>
    <row r="868" spans="3:7" x14ac:dyDescent="0.25">
      <c r="C868" s="9"/>
      <c r="G868" s="1"/>
    </row>
    <row r="869" spans="3:7" x14ac:dyDescent="0.25">
      <c r="C869" s="9"/>
      <c r="G869" s="1"/>
    </row>
    <row r="870" spans="3:7" x14ac:dyDescent="0.25">
      <c r="C870" s="9"/>
      <c r="G870" s="1"/>
    </row>
    <row r="871" spans="3:7" x14ac:dyDescent="0.25">
      <c r="C871" s="9"/>
      <c r="G871" s="1"/>
    </row>
    <row r="872" spans="3:7" x14ac:dyDescent="0.25">
      <c r="C872" s="9"/>
      <c r="G872" s="1"/>
    </row>
    <row r="873" spans="3:7" x14ac:dyDescent="0.25">
      <c r="C873" s="9"/>
      <c r="G873" s="1"/>
    </row>
    <row r="874" spans="3:7" x14ac:dyDescent="0.25">
      <c r="C874" s="9"/>
      <c r="G874" s="1"/>
    </row>
    <row r="875" spans="3:7" x14ac:dyDescent="0.25">
      <c r="C875" s="9"/>
      <c r="G875" s="1"/>
    </row>
    <row r="876" spans="3:7" x14ac:dyDescent="0.25">
      <c r="C876" s="9"/>
      <c r="G876" s="1"/>
    </row>
    <row r="877" spans="3:7" x14ac:dyDescent="0.25">
      <c r="C877" s="9"/>
      <c r="G877" s="1"/>
    </row>
    <row r="878" spans="3:7" x14ac:dyDescent="0.25">
      <c r="C878" s="9"/>
      <c r="G878" s="1"/>
    </row>
    <row r="879" spans="3:7" x14ac:dyDescent="0.25">
      <c r="C879" s="9"/>
      <c r="G879" s="1"/>
    </row>
    <row r="880" spans="3:7" x14ac:dyDescent="0.25">
      <c r="C880" s="9"/>
      <c r="G880" s="1"/>
    </row>
    <row r="881" spans="3:7" x14ac:dyDescent="0.25">
      <c r="C881" s="9"/>
      <c r="G881" s="1"/>
    </row>
    <row r="882" spans="3:7" x14ac:dyDescent="0.25">
      <c r="C882" s="9"/>
      <c r="G882" s="1"/>
    </row>
    <row r="883" spans="3:7" x14ac:dyDescent="0.25">
      <c r="C883" s="9"/>
      <c r="G883" s="1"/>
    </row>
    <row r="884" spans="3:7" x14ac:dyDescent="0.25">
      <c r="C884" s="9"/>
      <c r="G884" s="1"/>
    </row>
    <row r="885" spans="3:7" x14ac:dyDescent="0.25">
      <c r="C885" s="9"/>
      <c r="G885" s="1"/>
    </row>
    <row r="886" spans="3:7" x14ac:dyDescent="0.25">
      <c r="C886" s="9"/>
      <c r="G886" s="1"/>
    </row>
    <row r="887" spans="3:7" x14ac:dyDescent="0.25">
      <c r="C887" s="9"/>
      <c r="G887" s="1"/>
    </row>
    <row r="888" spans="3:7" x14ac:dyDescent="0.25">
      <c r="C888" s="9"/>
      <c r="G888" s="1"/>
    </row>
    <row r="889" spans="3:7" x14ac:dyDescent="0.25">
      <c r="C889" s="9"/>
      <c r="G889" s="1"/>
    </row>
    <row r="890" spans="3:7" x14ac:dyDescent="0.25">
      <c r="C890" s="9"/>
      <c r="G890" s="1"/>
    </row>
    <row r="891" spans="3:7" x14ac:dyDescent="0.25">
      <c r="C891" s="9"/>
      <c r="G891" s="1"/>
    </row>
    <row r="892" spans="3:7" x14ac:dyDescent="0.25">
      <c r="C892" s="9"/>
      <c r="G892" s="1"/>
    </row>
    <row r="893" spans="3:7" x14ac:dyDescent="0.25">
      <c r="C893" s="9"/>
      <c r="G893" s="1"/>
    </row>
    <row r="894" spans="3:7" x14ac:dyDescent="0.25">
      <c r="C894" s="9"/>
      <c r="G894" s="1"/>
    </row>
    <row r="895" spans="3:7" x14ac:dyDescent="0.25">
      <c r="C895" s="9"/>
      <c r="G895" s="1"/>
    </row>
    <row r="896" spans="3:7" x14ac:dyDescent="0.25">
      <c r="C896" s="9"/>
      <c r="G896" s="1"/>
    </row>
    <row r="897" spans="3:7" x14ac:dyDescent="0.25">
      <c r="C897" s="9"/>
      <c r="G897" s="1"/>
    </row>
    <row r="898" spans="3:7" x14ac:dyDescent="0.25">
      <c r="C898" s="9"/>
      <c r="G898" s="1"/>
    </row>
    <row r="899" spans="3:7" x14ac:dyDescent="0.25">
      <c r="C899" s="9"/>
      <c r="G899" s="1"/>
    </row>
    <row r="900" spans="3:7" x14ac:dyDescent="0.25">
      <c r="C900" s="9"/>
      <c r="G900" s="1"/>
    </row>
    <row r="901" spans="3:7" x14ac:dyDescent="0.25">
      <c r="C901" s="9"/>
      <c r="G901" s="1"/>
    </row>
    <row r="902" spans="3:7" x14ac:dyDescent="0.25">
      <c r="C902" s="9"/>
      <c r="G902" s="1"/>
    </row>
    <row r="903" spans="3:7" x14ac:dyDescent="0.25">
      <c r="C903" s="9"/>
      <c r="G903" s="1"/>
    </row>
    <row r="904" spans="3:7" x14ac:dyDescent="0.25">
      <c r="C904" s="9"/>
      <c r="G904" s="1"/>
    </row>
    <row r="905" spans="3:7" x14ac:dyDescent="0.25">
      <c r="C905" s="9"/>
      <c r="G905" s="1"/>
    </row>
    <row r="906" spans="3:7" x14ac:dyDescent="0.25">
      <c r="C906" s="9"/>
      <c r="G906" s="1"/>
    </row>
    <row r="907" spans="3:7" x14ac:dyDescent="0.25">
      <c r="C907" s="9"/>
      <c r="G907" s="1"/>
    </row>
    <row r="908" spans="3:7" x14ac:dyDescent="0.25">
      <c r="C908" s="9"/>
      <c r="G908" s="1"/>
    </row>
    <row r="909" spans="3:7" x14ac:dyDescent="0.25">
      <c r="C909" s="9"/>
      <c r="G909" s="1"/>
    </row>
    <row r="910" spans="3:7" x14ac:dyDescent="0.25">
      <c r="C910" s="9"/>
      <c r="G910" s="1"/>
    </row>
    <row r="911" spans="3:7" x14ac:dyDescent="0.25">
      <c r="C911" s="9"/>
      <c r="G911" s="1"/>
    </row>
    <row r="912" spans="3:7" x14ac:dyDescent="0.25">
      <c r="C912" s="9"/>
      <c r="G912" s="1"/>
    </row>
    <row r="913" spans="3:7" x14ac:dyDescent="0.25">
      <c r="C913" s="9"/>
      <c r="G913" s="1"/>
    </row>
    <row r="914" spans="3:7" x14ac:dyDescent="0.25">
      <c r="C914" s="9"/>
      <c r="G914" s="1"/>
    </row>
    <row r="915" spans="3:7" x14ac:dyDescent="0.25">
      <c r="C915" s="9"/>
      <c r="G915" s="1"/>
    </row>
    <row r="916" spans="3:7" x14ac:dyDescent="0.25">
      <c r="C916" s="9"/>
      <c r="G916" s="1"/>
    </row>
    <row r="917" spans="3:7" x14ac:dyDescent="0.25">
      <c r="C917" s="9"/>
      <c r="G917" s="1"/>
    </row>
    <row r="918" spans="3:7" x14ac:dyDescent="0.25">
      <c r="C918" s="9"/>
      <c r="G918" s="1"/>
    </row>
    <row r="919" spans="3:7" x14ac:dyDescent="0.25">
      <c r="C919" s="9"/>
      <c r="G919" s="1"/>
    </row>
    <row r="920" spans="3:7" x14ac:dyDescent="0.25">
      <c r="C920" s="9"/>
      <c r="G920" s="1"/>
    </row>
    <row r="921" spans="3:7" x14ac:dyDescent="0.25">
      <c r="C921" s="9"/>
      <c r="G921" s="1"/>
    </row>
    <row r="922" spans="3:7" x14ac:dyDescent="0.25">
      <c r="C922" s="9"/>
      <c r="G922" s="1"/>
    </row>
    <row r="923" spans="3:7" x14ac:dyDescent="0.25">
      <c r="C923" s="9"/>
      <c r="G923" s="1"/>
    </row>
    <row r="924" spans="3:7" x14ac:dyDescent="0.25">
      <c r="C924" s="9"/>
      <c r="G924" s="1"/>
    </row>
    <row r="925" spans="3:7" x14ac:dyDescent="0.25">
      <c r="C925" s="9"/>
      <c r="G925" s="1"/>
    </row>
    <row r="926" spans="3:7" x14ac:dyDescent="0.25">
      <c r="C926" s="9"/>
      <c r="G926" s="1"/>
    </row>
    <row r="927" spans="3:7" x14ac:dyDescent="0.25">
      <c r="C927" s="9"/>
      <c r="G927" s="1"/>
    </row>
    <row r="928" spans="3:7" x14ac:dyDescent="0.25">
      <c r="C928" s="9"/>
      <c r="G928" s="1"/>
    </row>
    <row r="929" spans="3:7" x14ac:dyDescent="0.25">
      <c r="C929" s="9"/>
      <c r="G929" s="1"/>
    </row>
    <row r="930" spans="3:7" x14ac:dyDescent="0.25">
      <c r="C930" s="9"/>
      <c r="G930" s="1"/>
    </row>
    <row r="931" spans="3:7" x14ac:dyDescent="0.25">
      <c r="C931" s="9"/>
      <c r="G931" s="1"/>
    </row>
    <row r="932" spans="3:7" x14ac:dyDescent="0.25">
      <c r="C932" s="9"/>
      <c r="G932" s="1"/>
    </row>
    <row r="933" spans="3:7" x14ac:dyDescent="0.25">
      <c r="C933" s="9"/>
      <c r="G933" s="1"/>
    </row>
    <row r="934" spans="3:7" x14ac:dyDescent="0.25">
      <c r="C934" s="9"/>
      <c r="G934" s="1"/>
    </row>
    <row r="935" spans="3:7" x14ac:dyDescent="0.25">
      <c r="C935" s="9"/>
      <c r="G935" s="1"/>
    </row>
    <row r="936" spans="3:7" x14ac:dyDescent="0.25">
      <c r="C936" s="9"/>
      <c r="G936" s="1"/>
    </row>
    <row r="937" spans="3:7" x14ac:dyDescent="0.25">
      <c r="C937" s="9"/>
      <c r="G937" s="1"/>
    </row>
    <row r="938" spans="3:7" x14ac:dyDescent="0.25">
      <c r="C938" s="9"/>
      <c r="G938" s="1"/>
    </row>
    <row r="939" spans="3:7" x14ac:dyDescent="0.25">
      <c r="C939" s="9"/>
      <c r="G939" s="1"/>
    </row>
    <row r="940" spans="3:7" x14ac:dyDescent="0.25">
      <c r="C940" s="9"/>
      <c r="G940" s="1"/>
    </row>
    <row r="941" spans="3:7" x14ac:dyDescent="0.25">
      <c r="C941" s="9"/>
      <c r="G941" s="1"/>
    </row>
    <row r="942" spans="3:7" x14ac:dyDescent="0.25">
      <c r="C942" s="9"/>
      <c r="G942" s="1"/>
    </row>
    <row r="943" spans="3:7" x14ac:dyDescent="0.25">
      <c r="C943" s="9"/>
      <c r="G943" s="1"/>
    </row>
    <row r="944" spans="3:7" x14ac:dyDescent="0.25">
      <c r="C944" s="9"/>
      <c r="G944" s="1"/>
    </row>
    <row r="945" spans="3:7" x14ac:dyDescent="0.25">
      <c r="C945" s="9"/>
      <c r="G945" s="1"/>
    </row>
    <row r="946" spans="3:7" x14ac:dyDescent="0.25">
      <c r="C946" s="9"/>
      <c r="G946" s="1"/>
    </row>
    <row r="947" spans="3:7" x14ac:dyDescent="0.25">
      <c r="C947" s="9"/>
      <c r="G947" s="1"/>
    </row>
    <row r="948" spans="3:7" x14ac:dyDescent="0.25">
      <c r="C948" s="9"/>
      <c r="G948" s="1"/>
    </row>
    <row r="949" spans="3:7" x14ac:dyDescent="0.25">
      <c r="C949" s="9"/>
      <c r="G949" s="1"/>
    </row>
    <row r="950" spans="3:7" x14ac:dyDescent="0.25">
      <c r="C950" s="9"/>
      <c r="G950" s="1"/>
    </row>
    <row r="951" spans="3:7" x14ac:dyDescent="0.25">
      <c r="C951" s="9"/>
      <c r="G951" s="1"/>
    </row>
    <row r="952" spans="3:7" x14ac:dyDescent="0.25">
      <c r="C952" s="9"/>
      <c r="G952" s="1"/>
    </row>
    <row r="953" spans="3:7" x14ac:dyDescent="0.25">
      <c r="C953" s="9"/>
      <c r="G953" s="1"/>
    </row>
    <row r="954" spans="3:7" x14ac:dyDescent="0.25">
      <c r="C954" s="9"/>
      <c r="G954" s="1"/>
    </row>
    <row r="955" spans="3:7" x14ac:dyDescent="0.25">
      <c r="C955" s="9"/>
      <c r="G955" s="1"/>
    </row>
    <row r="956" spans="3:7" x14ac:dyDescent="0.25">
      <c r="C956" s="9"/>
      <c r="G956" s="1"/>
    </row>
    <row r="957" spans="3:7" x14ac:dyDescent="0.25">
      <c r="C957" s="9"/>
      <c r="G957" s="1"/>
    </row>
    <row r="958" spans="3:7" x14ac:dyDescent="0.25">
      <c r="C958" s="9"/>
      <c r="G958" s="1"/>
    </row>
    <row r="959" spans="3:7" x14ac:dyDescent="0.25">
      <c r="C959" s="9"/>
      <c r="G959" s="1"/>
    </row>
    <row r="960" spans="3:7" x14ac:dyDescent="0.25">
      <c r="C960" s="9"/>
      <c r="G960" s="1"/>
    </row>
    <row r="961" spans="3:7" x14ac:dyDescent="0.25">
      <c r="C961" s="9"/>
      <c r="G961" s="1"/>
    </row>
    <row r="962" spans="3:7" x14ac:dyDescent="0.25">
      <c r="C962" s="9"/>
      <c r="G962" s="1"/>
    </row>
    <row r="963" spans="3:7" x14ac:dyDescent="0.25">
      <c r="C963" s="9"/>
      <c r="G963" s="1"/>
    </row>
    <row r="964" spans="3:7" x14ac:dyDescent="0.25">
      <c r="C964" s="9"/>
      <c r="G964" s="1"/>
    </row>
    <row r="965" spans="3:7" x14ac:dyDescent="0.25">
      <c r="C965" s="9"/>
      <c r="G965" s="1"/>
    </row>
    <row r="966" spans="3:7" x14ac:dyDescent="0.25">
      <c r="C966" s="9"/>
      <c r="G966" s="1"/>
    </row>
    <row r="967" spans="3:7" x14ac:dyDescent="0.25">
      <c r="C967" s="9"/>
      <c r="G967" s="1"/>
    </row>
    <row r="968" spans="3:7" x14ac:dyDescent="0.25">
      <c r="C968" s="9"/>
      <c r="G968" s="1"/>
    </row>
    <row r="969" spans="3:7" x14ac:dyDescent="0.25">
      <c r="C969" s="9"/>
      <c r="G969" s="1"/>
    </row>
    <row r="970" spans="3:7" x14ac:dyDescent="0.25">
      <c r="C970" s="9"/>
      <c r="G970" s="1"/>
    </row>
    <row r="971" spans="3:7" x14ac:dyDescent="0.25">
      <c r="C971" s="9"/>
      <c r="G971" s="1"/>
    </row>
    <row r="972" spans="3:7" x14ac:dyDescent="0.25">
      <c r="C972" s="9"/>
      <c r="G972" s="1"/>
    </row>
    <row r="973" spans="3:7" x14ac:dyDescent="0.25">
      <c r="C973" s="9"/>
      <c r="G973" s="1"/>
    </row>
    <row r="974" spans="3:7" x14ac:dyDescent="0.25">
      <c r="C974" s="9"/>
      <c r="G974" s="1"/>
    </row>
    <row r="975" spans="3:7" x14ac:dyDescent="0.25">
      <c r="C975" s="9"/>
      <c r="G975" s="1"/>
    </row>
    <row r="976" spans="3:7" x14ac:dyDescent="0.25">
      <c r="C976" s="9"/>
      <c r="G976" s="1"/>
    </row>
    <row r="977" spans="3:7" x14ac:dyDescent="0.25">
      <c r="C977" s="9"/>
      <c r="G977" s="1"/>
    </row>
    <row r="978" spans="3:7" x14ac:dyDescent="0.25">
      <c r="C978" s="9"/>
      <c r="G978" s="1"/>
    </row>
    <row r="979" spans="3:7" x14ac:dyDescent="0.25">
      <c r="C979" s="9"/>
      <c r="G979" s="1"/>
    </row>
    <row r="980" spans="3:7" x14ac:dyDescent="0.25">
      <c r="C980" s="9"/>
      <c r="G980" s="1"/>
    </row>
    <row r="981" spans="3:7" x14ac:dyDescent="0.25">
      <c r="C981" s="9"/>
      <c r="G981" s="1"/>
    </row>
    <row r="982" spans="3:7" x14ac:dyDescent="0.25">
      <c r="C982" s="9"/>
      <c r="G982" s="1"/>
    </row>
    <row r="983" spans="3:7" x14ac:dyDescent="0.25">
      <c r="C983" s="9"/>
      <c r="G983" s="1"/>
    </row>
    <row r="984" spans="3:7" x14ac:dyDescent="0.25">
      <c r="C984" s="9"/>
      <c r="G984" s="1"/>
    </row>
    <row r="985" spans="3:7" x14ac:dyDescent="0.25">
      <c r="C985" s="9"/>
      <c r="G985" s="1"/>
    </row>
    <row r="986" spans="3:7" x14ac:dyDescent="0.25">
      <c r="C986" s="9"/>
      <c r="G986" s="1"/>
    </row>
    <row r="987" spans="3:7" x14ac:dyDescent="0.25">
      <c r="C987" s="9"/>
      <c r="G987" s="1"/>
    </row>
    <row r="988" spans="3:7" x14ac:dyDescent="0.25">
      <c r="C988" s="9"/>
      <c r="G988" s="1"/>
    </row>
    <row r="989" spans="3:7" x14ac:dyDescent="0.25">
      <c r="C989" s="9"/>
      <c r="G989" s="1"/>
    </row>
    <row r="990" spans="3:7" x14ac:dyDescent="0.25">
      <c r="C990" s="9"/>
      <c r="G990" s="1"/>
    </row>
    <row r="991" spans="3:7" x14ac:dyDescent="0.25">
      <c r="C991" s="9"/>
      <c r="G991" s="1"/>
    </row>
    <row r="992" spans="3:7" x14ac:dyDescent="0.25">
      <c r="C992" s="9"/>
      <c r="G992" s="1"/>
    </row>
    <row r="993" spans="3:7" x14ac:dyDescent="0.25">
      <c r="C993" s="9"/>
      <c r="G993" s="1"/>
    </row>
    <row r="994" spans="3:7" x14ac:dyDescent="0.25">
      <c r="C994" s="9"/>
      <c r="G994" s="1"/>
    </row>
    <row r="995" spans="3:7" x14ac:dyDescent="0.25">
      <c r="C995" s="9"/>
      <c r="G995" s="1"/>
    </row>
    <row r="996" spans="3:7" x14ac:dyDescent="0.25">
      <c r="C996" s="9"/>
      <c r="G996" s="1"/>
    </row>
    <row r="997" spans="3:7" x14ac:dyDescent="0.25">
      <c r="C997" s="9"/>
      <c r="G997" s="1"/>
    </row>
    <row r="998" spans="3:7" x14ac:dyDescent="0.25">
      <c r="C998" s="9"/>
      <c r="G998" s="1"/>
    </row>
    <row r="999" spans="3:7" x14ac:dyDescent="0.25">
      <c r="C999" s="9"/>
      <c r="G999" s="1"/>
    </row>
    <row r="1000" spans="3:7" x14ac:dyDescent="0.25">
      <c r="C1000" s="9"/>
      <c r="G1000" s="1"/>
    </row>
  </sheetData>
  <dataValidations count="1">
    <dataValidation type="list" allowBlank="1" showInputMessage="1" showErrorMessage="1" sqref="D2" xr:uid="{58A562FD-EDFE-4466-AAF0-62B4F63E77FF}">
      <formula1>lstRegions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outputScrollBarControl">
              <controlPr defaultSiz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IAAiACwAIgB0AGgAbwB1AHMAYQBuAGQAcwBQAG8AcwBpAHQAaQBvAG4AcwAiADoAWwAzAF0ALAAiAGQAZQBjAGkAbQBhAGwAUwBlAHAAYQByAGEAdABvAHIAIgA6ACIALAAiACwAIgBkAGEAdABlAE8AcgBkAGUAcgAiADoAIgBEAE0AWQAiACwAIgBjAHUAcgByAGUAbgBjAHkAUwB5AG0AYgBvAGwAIgA6ACIAegBCASIALAAiAGkAcwBDAHUAcgByAGUAbgBjAHkAUwB5AG0AYgBvAGwATABlAGEAZAAiADoAZgBhAGwAcwBlACwAIgBpAHMAQwB1AHIAcgBlAG4AYwB5AFMAZQBwAEIAeQBTAHAAYQBjAGUAIgA6AHQAcgB1AGUALAAiAHIAbwB3AEwAZQB0AHQAZQByACIAOgAiAFcAIgAsACIAYwBvAGwAdQBtAG4ATABlAHQAdABlAHIAIgA6ACIASwAiACwAIgByAGMATABlAGYAdABCAHIAYQBjAGsAZQB0ACIAOgAiAFsAIgAsACIAcgBjAFIAaQBnAGgAdABCAHIAYQBjAGsAZQB0ACIAOgAiAF0AIgAsACIAcwB0AGEAdABlAG0AZQBuAHQAUwBlAHAAYQByAGEAdABvAHIAIgA6ACIAOwA7ACIALAAiAGwAbwBjAGEAbABlAE4AYQBtAGUAIgA6ACIAcABsAC0AcABsACIAfQB9AA==</AFEJSONBlob>
</file>

<file path=customXml/itemProps1.xml><?xml version="1.0" encoding="utf-8"?>
<ds:datastoreItem xmlns:ds="http://schemas.openxmlformats.org/officeDocument/2006/customXml" ds:itemID="{A724F617-E122-4578-A517-52D09BBEA763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3</vt:i4>
      </vt:variant>
    </vt:vector>
  </HeadingPairs>
  <TitlesOfParts>
    <vt:vector size="5" baseType="lpstr">
      <vt:lpstr>RawData</vt:lpstr>
      <vt:lpstr>Output - scroll bar</vt:lpstr>
      <vt:lpstr>maxScroll</vt:lpstr>
      <vt:lpstr>salesNum</vt:lpstr>
      <vt:lpstr>selectedRegion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Maciej Kopczyński</dc:creator>
  <cp:lastModifiedBy>Maciej Kopczyński</cp:lastModifiedBy>
  <dcterms:created xsi:type="dcterms:W3CDTF">2024-10-06T14:17:46Z</dcterms:created>
  <dcterms:modified xsi:type="dcterms:W3CDTF">2024-10-06T15:25:45Z</dcterms:modified>
</cp:coreProperties>
</file>